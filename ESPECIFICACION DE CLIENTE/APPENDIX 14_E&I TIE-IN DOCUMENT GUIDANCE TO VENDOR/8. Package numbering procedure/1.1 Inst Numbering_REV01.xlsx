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6.10.17\standard\00.영업공사 설계부문내부 (삭제절대금지 EM과)\52. Petrobras Buzio FPSO (최영철부장)\200. Discipline 참고자료\전계장\92. PKG E&amp;I Requirement\8. Package numbering procedure\"/>
    </mc:Choice>
  </mc:AlternateContent>
  <bookViews>
    <workbookView xWindow="0" yWindow="0" windowWidth="28800" windowHeight="14055" tabRatio="749"/>
  </bookViews>
  <sheets>
    <sheet name="Instrument Tagging" sheetId="1" r:id="rId1"/>
    <sheet name="Instrument Loop Tagging" sheetId="8" r:id="rId2"/>
    <sheet name="Detector Tagging " sheetId="5" r:id="rId3"/>
    <sheet name="FGS loop Tagging" sheetId="9" r:id="rId4"/>
    <sheet name="Inst EQ Tagging" sheetId="6" r:id="rId5"/>
    <sheet name="Inst Tubing Tagging" sheetId="7" r:id="rId6"/>
    <sheet name="Inst Junction box Tagging" sheetId="4" r:id="rId7"/>
    <sheet name="Cable Tagging " sheetId="3"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 i="4" l="1"/>
  <c r="I10" i="4" s="1"/>
  <c r="H9" i="4"/>
  <c r="I9" i="4"/>
  <c r="H6" i="4" l="1"/>
  <c r="I6" i="4" s="1"/>
  <c r="H7" i="4" s="1"/>
  <c r="I7" i="4" s="1"/>
  <c r="H8" i="4" s="1"/>
  <c r="I8" i="4" s="1"/>
  <c r="I5" i="4"/>
  <c r="H5" i="4"/>
  <c r="H11" i="4" l="1"/>
  <c r="I12" i="4" l="1"/>
  <c r="H13" i="4" s="1"/>
  <c r="I13" i="4" s="1"/>
  <c r="H14" i="4" s="1"/>
  <c r="I14" i="4" s="1"/>
  <c r="H15" i="4" s="1"/>
  <c r="I15" i="4" s="1"/>
  <c r="H16" i="4" s="1"/>
  <c r="I16" i="4" s="1"/>
  <c r="H17" i="4" s="1"/>
  <c r="I17" i="4" s="1"/>
  <c r="H18" i="4" s="1"/>
  <c r="I18" i="4" s="1"/>
  <c r="H19" i="4" s="1"/>
  <c r="I19" i="4" s="1"/>
  <c r="H20" i="4" s="1"/>
  <c r="I20" i="4" s="1"/>
  <c r="H21" i="4" s="1"/>
  <c r="I21" i="4" s="1"/>
  <c r="H22" i="4" s="1"/>
  <c r="I22" i="4" s="1"/>
  <c r="H23" i="4" s="1"/>
  <c r="I23" i="4" s="1"/>
  <c r="H24" i="4" s="1"/>
  <c r="I24" i="4" s="1"/>
  <c r="H25" i="4" s="1"/>
  <c r="I25" i="4" s="1"/>
  <c r="H26" i="4" s="1"/>
  <c r="I26" i="4" s="1"/>
  <c r="H27" i="4" s="1"/>
  <c r="I27" i="4" s="1"/>
  <c r="H28" i="4" s="1"/>
  <c r="I28" i="4" s="1"/>
  <c r="H29" i="4" s="1"/>
  <c r="I29" i="4" s="1"/>
  <c r="H30" i="4" s="1"/>
  <c r="I30" i="4" s="1"/>
  <c r="H31" i="4" s="1"/>
  <c r="I31" i="4" s="1"/>
  <c r="H32" i="4" s="1"/>
  <c r="I32" i="4" s="1"/>
  <c r="H33" i="4" s="1"/>
  <c r="I33" i="4" s="1"/>
  <c r="H34" i="4" s="1"/>
  <c r="I34" i="4" s="1"/>
  <c r="H35" i="4" s="1"/>
  <c r="I35" i="4" s="1"/>
  <c r="H36" i="4" s="1"/>
  <c r="I36" i="4" s="1"/>
  <c r="H37" i="4" s="1"/>
  <c r="I37" i="4" s="1"/>
  <c r="H38" i="4" s="1"/>
  <c r="I38" i="4" s="1"/>
  <c r="H39" i="4" s="1"/>
  <c r="I39" i="4" s="1"/>
  <c r="H40" i="4" s="1"/>
  <c r="I40" i="4" s="1"/>
  <c r="I11" i="4"/>
</calcChain>
</file>

<file path=xl/sharedStrings.xml><?xml version="1.0" encoding="utf-8"?>
<sst xmlns="http://schemas.openxmlformats.org/spreadsheetml/2006/main" count="347" uniqueCount="242">
  <si>
    <t>Insturment Numbering</t>
    <phoneticPr fontId="2" type="noConversion"/>
  </si>
  <si>
    <t>1st Group (AAAAAA)</t>
    <phoneticPr fontId="2" type="noConversion"/>
  </si>
  <si>
    <t>Reference</t>
    <phoneticPr fontId="2" type="noConversion"/>
  </si>
  <si>
    <t>4th Group (D)</t>
    <phoneticPr fontId="2" type="noConversion"/>
  </si>
  <si>
    <t xml:space="preserve">Alphabetic code suffix - Optional </t>
    <phoneticPr fontId="2" type="noConversion"/>
  </si>
  <si>
    <t>3rd Group (CCC)</t>
    <phoneticPr fontId="2" type="noConversion"/>
  </si>
  <si>
    <t xml:space="preserve">Sequential Designation - Mandatory </t>
    <phoneticPr fontId="2" type="noConversion"/>
  </si>
  <si>
    <t>This character is used to distinguish identical loops that perform the same function in similar  systems,  similarly  to  what  is  done  in  Annex  1.  See  example  9.3.3.2 of I-ET-3000.00-1200-940-P4X-001_C  for clarification. 
Voting instruments does not use the 4th group for tagging.</t>
    <phoneticPr fontId="2" type="noConversion"/>
  </si>
  <si>
    <t xml:space="preserve">I-ET-3000.00-1200-940-P4X-001_C </t>
    <phoneticPr fontId="2" type="noConversion"/>
  </si>
  <si>
    <t>Instrumentation  cables  
(from  instruments  to  JB,  or  from  instruments  to  PNs)  shall  be identified as)</t>
    <phoneticPr fontId="2" type="noConversion"/>
  </si>
  <si>
    <t>INSTRUMENT TAG</t>
    <phoneticPr fontId="2" type="noConversion"/>
  </si>
  <si>
    <t>–NNN</t>
    <phoneticPr fontId="2" type="noConversion"/>
  </si>
  <si>
    <t>NNN is the sequential number of the cable (mandatory only when there is more 
than one cable per instrument). C5</t>
    <phoneticPr fontId="2" type="noConversion"/>
  </si>
  <si>
    <t>Cable prefix</t>
    <phoneticPr fontId="2" type="noConversion"/>
  </si>
  <si>
    <t>I-ET-3000.00-1200-940-P4X-001_C_9.3.10</t>
    <phoneticPr fontId="2" type="noConversion"/>
  </si>
  <si>
    <t>I-ET-3000.00-1200-940-P4X-001_C_9.3.2.2</t>
    <phoneticPr fontId="2" type="noConversion"/>
  </si>
  <si>
    <t xml:space="preserve">Instrumentation Multicables interconnected with Junction Box 
Instrumentation multicables (from JB to panels) shall be identified as: </t>
    <phoneticPr fontId="2" type="noConversion"/>
  </si>
  <si>
    <t>MC–</t>
    <phoneticPr fontId="2" type="noConversion"/>
  </si>
  <si>
    <t>Multi Cable prefix</t>
    <phoneticPr fontId="2" type="noConversion"/>
  </si>
  <si>
    <t>1st Group (YY)</t>
    <phoneticPr fontId="2" type="noConversion"/>
  </si>
  <si>
    <t xml:space="preserve">AAAA defines the area or unit; </t>
    <phoneticPr fontId="2" type="noConversion"/>
  </si>
  <si>
    <t>2nd Group (AAAA)</t>
    <phoneticPr fontId="2" type="noConversion"/>
  </si>
  <si>
    <t xml:space="preserve">3rd NNN </t>
    <phoneticPr fontId="2" type="noConversion"/>
  </si>
  <si>
    <t>NNN defines the sequential number of the JB</t>
    <phoneticPr fontId="2" type="noConversion"/>
  </si>
  <si>
    <t>I-ET-3000.00-1200-940-P4X-001_C _9.3.8.</t>
    <phoneticPr fontId="2" type="noConversion"/>
  </si>
  <si>
    <t xml:space="preserve">I-ET-3000.00-1200-940-P4X-001_C _9.3.8. </t>
    <phoneticPr fontId="2" type="noConversion"/>
  </si>
  <si>
    <t>RFQ No</t>
    <phoneticPr fontId="2" type="noConversion"/>
  </si>
  <si>
    <t>System</t>
    <phoneticPr fontId="2" type="noConversion"/>
  </si>
  <si>
    <t>Remark</t>
    <phoneticPr fontId="2" type="noConversion"/>
  </si>
  <si>
    <t>CSS</t>
    <phoneticPr fontId="2" type="noConversion"/>
  </si>
  <si>
    <t>001</t>
    <phoneticPr fontId="2" type="noConversion"/>
  </si>
  <si>
    <t>149</t>
    <phoneticPr fontId="2" type="noConversion"/>
  </si>
  <si>
    <t>MMS</t>
    <phoneticPr fontId="2" type="noConversion"/>
  </si>
  <si>
    <t>HVAC (HHI)</t>
    <phoneticPr fontId="2" type="noConversion"/>
  </si>
  <si>
    <t>HVAC (Vendor)</t>
    <phoneticPr fontId="2" type="noConversion"/>
  </si>
  <si>
    <t>Sequential number Range</t>
    <phoneticPr fontId="2" type="noConversion"/>
  </si>
  <si>
    <t>1st Group (TTT)</t>
    <phoneticPr fontId="2" type="noConversion"/>
  </si>
  <si>
    <t xml:space="preserve">Prefix  Fire and Gas instrument Type 
AST  Gas detector  
UST  Flame/Fire detector  
YST  Smoke detector 
HSS  Manual alarm pushbutton 
TST  Heat (Thermo-velocimetric) detector </t>
    <phoneticPr fontId="2" type="noConversion"/>
  </si>
  <si>
    <t>2nd Group (GGG)</t>
    <phoneticPr fontId="2" type="noConversion"/>
  </si>
  <si>
    <t>3rd Group (MMM)</t>
    <phoneticPr fontId="2" type="noConversion"/>
  </si>
  <si>
    <t>4th Group (ZZZ)</t>
    <phoneticPr fontId="2" type="noConversion"/>
  </si>
  <si>
    <t>5th Group (L)</t>
    <phoneticPr fontId="2" type="noConversion"/>
  </si>
  <si>
    <t>6th Group (XXX)</t>
    <phoneticPr fontId="2" type="noConversion"/>
  </si>
  <si>
    <t xml:space="preserve"> Sequential numbering</t>
    <phoneticPr fontId="2" type="noConversion"/>
  </si>
  <si>
    <t>7th Group (T)</t>
    <phoneticPr fontId="2" type="noConversion"/>
  </si>
  <si>
    <t xml:space="preserve"> Subtype indicator - optional</t>
    <phoneticPr fontId="2" type="noConversion"/>
  </si>
  <si>
    <t xml:space="preserve">Same as I-ET-3000.00-1200-940-P4X-001_C section 9.3.4.2. </t>
    <phoneticPr fontId="2" type="noConversion"/>
  </si>
  <si>
    <t xml:space="preserve">Same as I-ET-3000.00-1200-940-P4X-001_C section 9.3.4.2. </t>
    <phoneticPr fontId="2" type="noConversion"/>
  </si>
  <si>
    <t xml:space="preserve">Module or Hull section – Mandatory 
Same as I-ET-3000.00-1200-940-P4X-001_C section 9.3.4.2. </t>
    <phoneticPr fontId="2" type="noConversion"/>
  </si>
  <si>
    <t xml:space="preserve">MMM defines the area or module as per section 9.3.5.2;  </t>
    <phoneticPr fontId="2" type="noConversion"/>
  </si>
  <si>
    <t>2nd Group (MMM)</t>
    <phoneticPr fontId="2" type="noConversion"/>
  </si>
  <si>
    <t xml:space="preserve">Pneumatic and Hydraulic distribution panels </t>
    <phoneticPr fontId="2" type="noConversion"/>
  </si>
  <si>
    <t xml:space="preserve">Instrumentation Tubing </t>
    <phoneticPr fontId="2" type="noConversion"/>
  </si>
  <si>
    <t xml:space="preserve">AAAAA–BBBBCCCD–FE </t>
    <phoneticPr fontId="2" type="noConversion"/>
  </si>
  <si>
    <t>1st Group (T)</t>
    <phoneticPr fontId="2" type="noConversion"/>
  </si>
  <si>
    <t>2nd Group (SS)</t>
    <phoneticPr fontId="2" type="noConversion"/>
  </si>
  <si>
    <t>INSTRUMENT TAG</t>
    <phoneticPr fontId="2" type="noConversion"/>
  </si>
  <si>
    <t>SS is a sequential number mandatory only if the same instrument has more than one tubing connected to it</t>
    <phoneticPr fontId="2" type="noConversion"/>
  </si>
  <si>
    <t>"T" is mandatory for tubing line</t>
    <phoneticPr fontId="2" type="noConversion"/>
  </si>
  <si>
    <t>5th Group (E)</t>
    <phoneticPr fontId="2" type="noConversion"/>
  </si>
  <si>
    <t>6th Group (F)</t>
    <phoneticPr fontId="2" type="noConversion"/>
  </si>
  <si>
    <t xml:space="preserve">Numeric code suffix - Optional </t>
    <phoneticPr fontId="2" type="noConversion"/>
  </si>
  <si>
    <t xml:space="preserve">Extra character - Optional </t>
    <phoneticPr fontId="2" type="noConversion"/>
  </si>
  <si>
    <t xml:space="preserve"> An extra digit or character is used to indicate further redundancies or subdivisions. For an example, see Section I-ET-3000.00-1200-940-P4X-001_C  9.3.3.8. 
When the 5th and 6th groups are not used (FE), the last hyphen must be suppressed. 
• For compressor C-UC-1254001A 
o  PSV-1254001A-A 
▪  First PSV of compressor C-UC-1254001A 
o  PSV-1254001A-B 
▪  Second PSV of compressor C-UC-1254001A 
o  PSV-1254001A-C  
▪  Third (Spare) PSV of compressor C-UC-1254001A 
• For compressor C-UC-1254001B 
o  PSV-1254001B-A 
o  PSV-1254001B-B 
o  PSV-1254001B-C </t>
    <phoneticPr fontId="2" type="noConversion"/>
  </si>
  <si>
    <t xml:space="preserve">Process system, Area or Unit Designation - Mandatory </t>
    <phoneticPr fontId="2" type="noConversion"/>
  </si>
  <si>
    <t xml:space="preserve">Gas Type Designation – Mandatory only for AST  
same as I-ET-3000.00-1200-940-P4X-001_C  section 9.3.4.2. </t>
    <phoneticPr fontId="2" type="noConversion"/>
  </si>
  <si>
    <t>AAAAA–BBBBCCCD–FE</t>
    <phoneticPr fontId="2" type="noConversion"/>
  </si>
  <si>
    <t>C–</t>
    <phoneticPr fontId="2" type="noConversion"/>
  </si>
  <si>
    <t>Hull Gen</t>
    <phoneticPr fontId="2" type="noConversion"/>
  </si>
  <si>
    <t>I-ET-3000.00-1200-940-P4X-001_C _9.3.8.</t>
    <phoneticPr fontId="2" type="noConversion"/>
  </si>
  <si>
    <t>HO-01A</t>
    <phoneticPr fontId="2" type="noConversion"/>
  </si>
  <si>
    <t>OFFLOADING SYSTEM</t>
    <phoneticPr fontId="2" type="noConversion"/>
  </si>
  <si>
    <t>HO-01B</t>
    <phoneticPr fontId="2" type="noConversion"/>
  </si>
  <si>
    <t>Bunkering SYSTEM - DIESEL OIL AND FRESH WATER HOSE REEL</t>
    <phoneticPr fontId="2" type="noConversion"/>
  </si>
  <si>
    <t>HO-01C</t>
    <phoneticPr fontId="2" type="noConversion"/>
  </si>
  <si>
    <t>PULL IN WINCH</t>
    <phoneticPr fontId="2" type="noConversion"/>
  </si>
  <si>
    <t>HO-03</t>
    <phoneticPr fontId="2" type="noConversion"/>
  </si>
  <si>
    <t>LIFE SAVING APPLIANCE</t>
    <phoneticPr fontId="2" type="noConversion"/>
  </si>
  <si>
    <t>HO-04</t>
    <phoneticPr fontId="2" type="noConversion"/>
  </si>
  <si>
    <t>LIFE SAVING APPLIANCE (Personal Equipment)</t>
    <phoneticPr fontId="2" type="noConversion"/>
  </si>
  <si>
    <t>HO-06</t>
    <phoneticPr fontId="2" type="noConversion"/>
  </si>
  <si>
    <t>LIFE &amp; RESCUE BOAT</t>
    <phoneticPr fontId="2" type="noConversion"/>
  </si>
  <si>
    <t>HO-31</t>
    <phoneticPr fontId="2" type="noConversion"/>
  </si>
  <si>
    <t xml:space="preserve">MOORING SYSTEM *powered equipment only </t>
    <phoneticPr fontId="2" type="noConversion"/>
  </si>
  <si>
    <t>HQ-06</t>
    <phoneticPr fontId="2" type="noConversion"/>
  </si>
  <si>
    <t>START UP AIR COMPRESSOR</t>
    <phoneticPr fontId="2" type="noConversion"/>
  </si>
  <si>
    <t>HQ-15</t>
    <phoneticPr fontId="2" type="noConversion"/>
  </si>
  <si>
    <t>EMERGENCY &amp; AUXILIARY GENERATOR</t>
    <phoneticPr fontId="2" type="noConversion"/>
  </si>
  <si>
    <t>HQ-21</t>
    <phoneticPr fontId="2" type="noConversion"/>
  </si>
  <si>
    <t>FIRE WATER PUMP</t>
    <phoneticPr fontId="2" type="noConversion"/>
  </si>
  <si>
    <t>HQ-25</t>
    <phoneticPr fontId="2" type="noConversion"/>
  </si>
  <si>
    <t xml:space="preserve">HYDRAULIC SUBMERGED PUMP </t>
    <phoneticPr fontId="2" type="noConversion"/>
  </si>
  <si>
    <t>HQ-31</t>
    <phoneticPr fontId="2" type="noConversion"/>
  </si>
  <si>
    <t>CENTRIFUGAL PUMPS</t>
    <phoneticPr fontId="2" type="noConversion"/>
  </si>
  <si>
    <t>HQ-32</t>
    <phoneticPr fontId="2" type="noConversion"/>
  </si>
  <si>
    <t>PROGRESSIVE CAVITY PUMP</t>
    <phoneticPr fontId="2" type="noConversion"/>
  </si>
  <si>
    <t>HQ-33</t>
  </si>
  <si>
    <t>Diaphragm Pump</t>
    <phoneticPr fontId="4" type="noConversion"/>
  </si>
  <si>
    <t>HQ-34</t>
  </si>
  <si>
    <t>Reciprocating Pump</t>
  </si>
  <si>
    <t>HQ-44</t>
  </si>
  <si>
    <t>Filter</t>
  </si>
  <si>
    <t>HQ-44A</t>
  </si>
  <si>
    <t>Filter(Self Cleaning)</t>
    <phoneticPr fontId="4" type="noConversion"/>
  </si>
  <si>
    <t>HQ-50</t>
  </si>
  <si>
    <t>Diesel Oil Purifier</t>
  </si>
  <si>
    <t>HQ-54</t>
  </si>
  <si>
    <t>Oily Water Separator</t>
    <phoneticPr fontId="4" type="noConversion"/>
  </si>
  <si>
    <t>HQ-54A</t>
    <phoneticPr fontId="4" type="noConversion"/>
  </si>
  <si>
    <t>Slop Discharge System Hydrocyclone</t>
    <phoneticPr fontId="4" type="noConversion"/>
  </si>
  <si>
    <t>HQ-5A</t>
  </si>
  <si>
    <t>Marine Growing Protection Package</t>
    <phoneticPr fontId="4" type="noConversion"/>
  </si>
  <si>
    <t>HQ-5C</t>
  </si>
  <si>
    <t>Offloading Transfer Metering Skid</t>
    <phoneticPr fontId="4" type="noConversion"/>
  </si>
  <si>
    <t>HQ-64</t>
  </si>
  <si>
    <t>Shell and Tube Heat Exchanger</t>
    <phoneticPr fontId="4" type="noConversion"/>
  </si>
  <si>
    <t>HQ-65</t>
  </si>
  <si>
    <t>Plate Type Heat Exchanger</t>
    <phoneticPr fontId="4" type="noConversion"/>
  </si>
  <si>
    <t>HQ-81</t>
  </si>
  <si>
    <t>Inert Gas Generator</t>
    <phoneticPr fontId="4" type="noConversion"/>
  </si>
  <si>
    <t>HQ-82</t>
  </si>
  <si>
    <t>Refueling System</t>
    <phoneticPr fontId="4" type="noConversion"/>
  </si>
  <si>
    <t>HQ-84</t>
  </si>
  <si>
    <t>Calorifier</t>
    <phoneticPr fontId="4" type="noConversion"/>
  </si>
  <si>
    <t>HQ-85</t>
  </si>
  <si>
    <t>Potable Water Maker</t>
    <phoneticPr fontId="4" type="noConversion"/>
  </si>
  <si>
    <t>HQ-86</t>
  </si>
  <si>
    <t>Sewage Treatment Package</t>
    <phoneticPr fontId="4" type="noConversion"/>
  </si>
  <si>
    <t>HQ-88</t>
  </si>
  <si>
    <t>Hydrophore</t>
    <phoneticPr fontId="4" type="noConversion"/>
  </si>
  <si>
    <t>HQ-89</t>
    <phoneticPr fontId="4" type="noConversion"/>
  </si>
  <si>
    <t>Tank Cleaning Machine</t>
    <phoneticPr fontId="4" type="noConversion"/>
  </si>
  <si>
    <t>HQ-96</t>
    <phoneticPr fontId="4" type="noConversion"/>
  </si>
  <si>
    <t>Instrument / Service Air Receiver</t>
    <phoneticPr fontId="4" type="noConversion"/>
  </si>
  <si>
    <t>HQ-99</t>
  </si>
  <si>
    <t>ATM Tank</t>
    <phoneticPr fontId="4" type="noConversion"/>
  </si>
  <si>
    <t>HQ-72</t>
  </si>
  <si>
    <t>Material Handling Equipment</t>
    <phoneticPr fontId="4" type="noConversion"/>
  </si>
  <si>
    <t>HF-20</t>
    <phoneticPr fontId="4" type="noConversion"/>
  </si>
  <si>
    <t>Fixed/Loose Fire Fighting Eqiupment</t>
    <phoneticPr fontId="4" type="noConversion"/>
  </si>
  <si>
    <t>HF-21</t>
    <phoneticPr fontId="4" type="noConversion"/>
  </si>
  <si>
    <t>Foam Skid</t>
    <phoneticPr fontId="4" type="noConversion"/>
  </si>
  <si>
    <t>HF-22</t>
    <phoneticPr fontId="4" type="noConversion"/>
  </si>
  <si>
    <t>Deluge Skid</t>
    <phoneticPr fontId="4" type="noConversion"/>
  </si>
  <si>
    <t>HF-23</t>
    <phoneticPr fontId="4" type="noConversion"/>
  </si>
  <si>
    <t>CO2 System</t>
    <phoneticPr fontId="4" type="noConversion"/>
  </si>
  <si>
    <t>I-011</t>
    <phoneticPr fontId="2" type="noConversion"/>
  </si>
  <si>
    <t>HSTS</t>
    <phoneticPr fontId="2" type="noConversion"/>
  </si>
  <si>
    <t>I-012</t>
    <phoneticPr fontId="2" type="noConversion"/>
  </si>
  <si>
    <t>I-009</t>
    <phoneticPr fontId="2" type="noConversion"/>
  </si>
  <si>
    <t>I-013</t>
    <phoneticPr fontId="2" type="noConversion"/>
  </si>
  <si>
    <t>HSHMS</t>
    <phoneticPr fontId="2" type="noConversion"/>
  </si>
  <si>
    <t>I-017</t>
    <phoneticPr fontId="2" type="noConversion"/>
  </si>
  <si>
    <t>HULL ADDRESSABLE FIRE DETECTION SYSTEM</t>
    <phoneticPr fontId="2" type="noConversion"/>
  </si>
  <si>
    <t>I-019</t>
    <phoneticPr fontId="2" type="noConversion"/>
  </si>
  <si>
    <t>ANALYZER (Inert Gas System)</t>
    <phoneticPr fontId="2" type="noConversion"/>
  </si>
  <si>
    <t>I-020</t>
    <phoneticPr fontId="2" type="noConversion"/>
  </si>
  <si>
    <t>OIL-IN-WATER ANALYZER (TOG)</t>
    <phoneticPr fontId="2" type="noConversion"/>
  </si>
  <si>
    <t>TBD</t>
    <phoneticPr fontId="2" type="noConversion"/>
  </si>
  <si>
    <t>Ari Compressor</t>
    <phoneticPr fontId="2" type="noConversion"/>
  </si>
  <si>
    <t>NA</t>
    <phoneticPr fontId="2" type="noConversion"/>
  </si>
  <si>
    <t>M15B</t>
    <phoneticPr fontId="2" type="noConversion"/>
  </si>
  <si>
    <t>If required</t>
    <phoneticPr fontId="2" type="noConversion"/>
  </si>
  <si>
    <r>
      <t>(</t>
    </r>
    <r>
      <rPr>
        <sz val="11"/>
        <color rgb="FFFF0000"/>
        <rFont val="현대체 Light"/>
        <family val="1"/>
        <charset val="129"/>
      </rPr>
      <t>PSD= 101~149, FGS=001~099</t>
    </r>
    <r>
      <rPr>
        <sz val="11"/>
        <color theme="1"/>
        <rFont val="현대체 Light"/>
        <family val="1"/>
        <charset val="129"/>
      </rPr>
      <t>)</t>
    </r>
    <phoneticPr fontId="2" type="noConversion"/>
  </si>
  <si>
    <t>Insturment Junction box Numbering</t>
    <phoneticPr fontId="2" type="noConversion"/>
  </si>
  <si>
    <t>Insturment Junction box Numbering</t>
    <phoneticPr fontId="2" type="noConversion"/>
  </si>
  <si>
    <r>
      <t>JB</t>
    </r>
    <r>
      <rPr>
        <sz val="11"/>
        <color rgb="FFFF0000"/>
        <rFont val="현대체 Light"/>
        <family val="1"/>
        <charset val="129"/>
      </rPr>
      <t>YY</t>
    </r>
    <r>
      <rPr>
        <sz val="11"/>
        <color theme="1"/>
        <rFont val="현대체 Light"/>
        <family val="1"/>
        <charset val="129"/>
      </rPr>
      <t>-AAAA-</t>
    </r>
    <r>
      <rPr>
        <sz val="11"/>
        <color rgb="FFFF0000"/>
        <rFont val="현대체 Light"/>
        <family val="1"/>
        <charset val="129"/>
      </rPr>
      <t xml:space="preserve">NNN </t>
    </r>
    <phoneticPr fontId="2" type="noConversion"/>
  </si>
  <si>
    <r>
      <t>• Y defines the type of signal, where:  
o</t>
    </r>
    <r>
      <rPr>
        <sz val="11"/>
        <color rgb="FFFF0000"/>
        <rFont val="현대체 Light"/>
        <family val="1"/>
        <charset val="129"/>
      </rPr>
      <t xml:space="preserve">  C = control signals (PCS); </t>
    </r>
    <r>
      <rPr>
        <sz val="11"/>
        <color theme="1"/>
        <rFont val="현대체 Light"/>
        <family val="1"/>
        <charset val="129"/>
      </rPr>
      <t xml:space="preserve">
o </t>
    </r>
    <r>
      <rPr>
        <sz val="11"/>
        <color rgb="FFFF0000"/>
        <rFont val="현대체 Light"/>
        <family val="1"/>
        <charset val="129"/>
      </rPr>
      <t xml:space="preserve"> I = interlock signals (PSD), non-fire resistant cables;</t>
    </r>
    <r>
      <rPr>
        <sz val="11"/>
        <color theme="1"/>
        <rFont val="현대체 Light"/>
        <family val="1"/>
        <charset val="129"/>
      </rPr>
      <t xml:space="preserve"> 
o  </t>
    </r>
    <r>
      <rPr>
        <sz val="11"/>
        <color rgb="FFFF0000"/>
        <rFont val="현대체 Light"/>
        <family val="1"/>
        <charset val="129"/>
      </rPr>
      <t xml:space="preserve">IF = interlock signals (PSD/FGS), fire resistant cables; </t>
    </r>
    <r>
      <rPr>
        <sz val="11"/>
        <color theme="1"/>
        <rFont val="현대체 Light"/>
        <family val="1"/>
        <charset val="129"/>
      </rPr>
      <t xml:space="preserve">
o  </t>
    </r>
    <r>
      <rPr>
        <sz val="11"/>
        <color rgb="FFFF0000"/>
        <rFont val="현대체 Light"/>
        <family val="1"/>
        <charset val="129"/>
      </rPr>
      <t xml:space="preserve">S = power supply signals; </t>
    </r>
    <phoneticPr fontId="2" type="noConversion"/>
  </si>
  <si>
    <t>Fire and Gas Detector Tagging</t>
    <phoneticPr fontId="2" type="noConversion"/>
  </si>
  <si>
    <t>Detector Numbering</t>
    <phoneticPr fontId="2" type="noConversion"/>
  </si>
  <si>
    <t>Instrument Tagging</t>
    <phoneticPr fontId="2" type="noConversion"/>
  </si>
  <si>
    <r>
      <t xml:space="preserve">A set of 4 digits representing the process system (or, in some cases, the area or unit) to which the instrument belongs.  
This group shall follow </t>
    </r>
    <r>
      <rPr>
        <sz val="11"/>
        <color rgb="FFFF0000"/>
        <rFont val="현대체 Light"/>
        <family val="1"/>
        <charset val="129"/>
      </rPr>
      <t>EXHIBIT III codes</t>
    </r>
    <r>
      <rPr>
        <sz val="11"/>
        <color theme="1"/>
        <rFont val="현대체 Light"/>
        <family val="1"/>
        <charset val="129"/>
      </rPr>
      <t xml:space="preserve"> and requirements.  </t>
    </r>
    <phoneticPr fontId="2" type="noConversion"/>
  </si>
  <si>
    <r>
      <t xml:space="preserve"> A  set  of  3  numbers  indicating  the  sequential  order  of  the  instrument  type.  
</t>
    </r>
    <r>
      <rPr>
        <sz val="11"/>
        <color rgb="FFFF0000"/>
        <rFont val="현대체 Light"/>
        <family val="1"/>
        <charset val="129"/>
      </rPr>
      <t xml:space="preserve">• 001-499 → Topsides instruments and equipment 
• 500-799 → Hull instruments and equipment 
• 800-999 → Package-units and CLLI instruments and equipment </t>
    </r>
    <r>
      <rPr>
        <sz val="11"/>
        <color theme="1"/>
        <rFont val="현대체 Light"/>
        <family val="1"/>
        <charset val="129"/>
      </rPr>
      <t xml:space="preserve">
This numbering shall be consistent inside the process system, area or unit. See section 9.2.3 of I-ET-3000.00-1200-940-P4X-001_C for the PETROBRAS sequential numbering logic for instrument tagging. </t>
    </r>
    <phoneticPr fontId="2" type="noConversion"/>
  </si>
  <si>
    <t>Hold</t>
    <phoneticPr fontId="2" type="noConversion"/>
  </si>
  <si>
    <r>
      <t>Instrumentation Multicables from Panel to panel</t>
    </r>
    <r>
      <rPr>
        <sz val="16"/>
        <color rgb="FFFF0000"/>
        <rFont val="현대체 Light"/>
        <family val="1"/>
        <charset val="129"/>
      </rPr>
      <t xml:space="preserve"> (Hold)</t>
    </r>
    <phoneticPr fontId="2" type="noConversion"/>
  </si>
  <si>
    <t>1. Instrumentation Multicables from Panel to panel  to be confirmed during detailed engineering</t>
    <phoneticPr fontId="2" type="noConversion"/>
  </si>
  <si>
    <t>I-ET-3000.00-1200-940-P4X-001_C_Section 9.5.3</t>
    <phoneticPr fontId="2" type="noConversion"/>
  </si>
  <si>
    <t xml:space="preserve">I-ET-3000.00-1200-940-P4X-001_C _9.3.8. 
Refer to below allocation for each Subsystem
• First Control Junction box of module 08. 
o  JBC-1418-001 
• Third Interlock FGS (containing fire resistant cables) Junction box of module 10. 
o  JBIF-1421-003 </t>
    <phoneticPr fontId="2" type="noConversion"/>
  </si>
  <si>
    <t>Loop Tagging</t>
    <phoneticPr fontId="2" type="noConversion"/>
  </si>
  <si>
    <t>Loop Numbering</t>
    <phoneticPr fontId="2" type="noConversion"/>
  </si>
  <si>
    <t xml:space="preserve">AAA–BBBBCCCD </t>
    <phoneticPr fontId="2" type="noConversion"/>
  </si>
  <si>
    <t>1st Group (AAA)</t>
    <phoneticPr fontId="2" type="noConversion"/>
  </si>
  <si>
    <t xml:space="preserve">Loop Measured Variable Designation – Mandatory 
o  A set of 1-3 characters as per section I-ET-3000.00-1200-940-P4X-001_C_9.3.1.3.  
o  In case an instrument is not covered by Table 9-3 or the first 2 columns of Table 9-4 (read in conjunction with ISA-5.1 2009 Table 1), the Loop’s TAG must be agreed with PETROBRAS. </t>
    <phoneticPr fontId="2" type="noConversion"/>
  </si>
  <si>
    <t>I-ET-3000.00-1200-940-P4X-001_C_Section 9.3.1.2.</t>
    <phoneticPr fontId="2" type="noConversion"/>
  </si>
  <si>
    <r>
      <t xml:space="preserve">• Valves with Limit switches or position indicators 
o  Valves with limit switches and position indicators (generally SDV, BDV, ADV, XV, HV, AMV, SCSSV, other subsea valves, ..) shall have serial numbering, to ensure that their accessories shall never have the same TAG. This is performed by setting the loop prefix </t>
    </r>
    <r>
      <rPr>
        <sz val="11"/>
        <color rgb="FFFF0000"/>
        <rFont val="현대체 Light"/>
        <family val="1"/>
        <charset val="129"/>
      </rPr>
      <t>“XV-”</t>
    </r>
    <r>
      <rPr>
        <sz val="11"/>
        <color theme="1"/>
        <rFont val="현대체 Light"/>
        <family val="1"/>
        <charset val="129"/>
      </rPr>
      <t xml:space="preserve"> to all of these valves.  
• Flow Measurement Loop or Multivariable Loop 
o  In case a loop contains more than one measured variable, then the loop’s sequential number  shall  not  be  repeated  for  the  variables  involved.  Example  9.3.3.3  clarifies  this rule.  
 A  set  of  3  numbers  indicating  the  sequential  order  of  the  instrument  type.  
</t>
    </r>
    <r>
      <rPr>
        <sz val="11"/>
        <color rgb="FFFF0000"/>
        <rFont val="현대체 Light"/>
        <family val="1"/>
        <charset val="129"/>
      </rPr>
      <t xml:space="preserve">• 001-499 → Topsides instruments and equipment 
• 500-799 → Hull instruments and equipment 
• 800-999 → Package-units and CLLI instruments and equipment </t>
    </r>
    <r>
      <rPr>
        <sz val="11"/>
        <color theme="1"/>
        <rFont val="현대체 Light"/>
        <family val="1"/>
        <charset val="129"/>
      </rPr>
      <t xml:space="preserve">
This numbering shall be consistent inside the process system, area or unit. See section 9.2.3 of I-ET-3000.00-1200-940-P4X-001_C for the PETROBRAS sequential numbering logic for instrument tagging. 
Suppose pumps B-1223002A/C are arranged in a redundant configuration and that there are three pressure instruments, each one measuring the discharge pressure of each pump.  
Loops and instruments TAGs are: 
• For pump B-1223002A → Loop P-1223003A, containing PIT-1223003A 
• For pump B-1223002B → Loop P-1223003B, containing PIT-1223003B 
• For pump B-1223002C → Loop P-1223003C, containing PIT-1223003C </t>
    </r>
    <phoneticPr fontId="2" type="noConversion"/>
  </si>
  <si>
    <t xml:space="preserve">Instrument Measured Variable Designation - Mandatory 
In case an instrument is not covered by Table 9-4 (read in conjunction with ISA-5.1 
2009 table 1) and Table 9-5, the instrument’s TAG must be agreed with PETROBRAS. </t>
    <phoneticPr fontId="2" type="noConversion"/>
  </si>
  <si>
    <t>1st Group (PN)</t>
    <phoneticPr fontId="2" type="noConversion"/>
  </si>
  <si>
    <t xml:space="preserve">General Electric Panel (MCC, LDC, Switchboard) </t>
    <phoneticPr fontId="2" type="noConversion"/>
  </si>
  <si>
    <t>Note</t>
    <phoneticPr fontId="2" type="noConversion"/>
  </si>
  <si>
    <t>1. Follow the tag number on project P&amp;ID. If it is not defined, control panel tag number to be confirmed during detailed engineering.</t>
    <phoneticPr fontId="2" type="noConversion"/>
  </si>
  <si>
    <r>
      <t xml:space="preserve">PN-BBBBCCC </t>
    </r>
    <r>
      <rPr>
        <sz val="11"/>
        <color rgb="FFFF0000"/>
        <rFont val="현대체 Light"/>
        <family val="1"/>
        <charset val="129"/>
      </rPr>
      <t>(NOTE 1)</t>
    </r>
    <phoneticPr fontId="2" type="noConversion"/>
  </si>
  <si>
    <t>PN-BBBBCCC</t>
    <phoneticPr fontId="2" type="noConversion"/>
  </si>
  <si>
    <r>
      <t xml:space="preserve">Automation Control panels </t>
    </r>
    <r>
      <rPr>
        <sz val="14"/>
        <color rgb="FFFF0000"/>
        <rFont val="현대체 Light"/>
        <family val="1"/>
        <charset val="129"/>
      </rPr>
      <t>(Hold)</t>
    </r>
    <phoneticPr fontId="2" type="noConversion"/>
  </si>
  <si>
    <t>Multi Cable prefix</t>
    <phoneticPr fontId="2" type="noConversion"/>
  </si>
  <si>
    <t>Automation Control panels Tag</t>
    <phoneticPr fontId="2" type="noConversion"/>
  </si>
  <si>
    <t xml:space="preserve">Process system, Area or Unit Designation - Mandatory 
A set of 4 digits representing the process system (or, in some cases, the area or unit) to which the instrument belongs.  
This group shall follow EXHIBIT III codes and requirements.  </t>
    <phoneticPr fontId="2" type="noConversion"/>
  </si>
  <si>
    <t>EXHIBIT III codes</t>
    <phoneticPr fontId="2" type="noConversion"/>
  </si>
  <si>
    <t xml:space="preserve">A digit is used to discern, in terms of capacity/range extension or voting, the TAGs of instruments that perform the same function in the same process system, area or unit.  
By voting it is meant that all involved instruments are operating and their output 
is compared by the logic solver in order to decide on the final control action. 
• Loop P-1223001 → Generates ESD signal 
o  PIT-1223001-1 
o  PIT-1223001-2 
o  PIT-1223001-3 
o  PSHH-1223001 
o  PAHH-1223001 
• Loop XV-1223001 → Receives ESD signal 
o  SDV-1223001 
o  SDY-1223001-1 
o  SDY-1223001-2 
o  ZSL-1223001 
o  ZSH-1223001 </t>
    <phoneticPr fontId="2" type="noConversion"/>
  </si>
  <si>
    <t xml:space="preserve">AAAAAA–BBBBCCCD–FE  </t>
    <phoneticPr fontId="2" type="noConversion"/>
  </si>
  <si>
    <t>2nd Group (BBBB)</t>
    <phoneticPr fontId="2" type="noConversion"/>
  </si>
  <si>
    <t xml:space="preserve">TTT–GGG–MMM–ZZZ–LXXXT–V  </t>
    <phoneticPr fontId="2" type="noConversion"/>
  </si>
  <si>
    <t xml:space="preserve">T–SS–AAAAA–BBBBCCCD–FE </t>
    <phoneticPr fontId="2" type="noConversion"/>
  </si>
  <si>
    <t>Insturment field cable Numbering</t>
    <phoneticPr fontId="2" type="noConversion"/>
  </si>
  <si>
    <t>Insturment multi cable Numbering</t>
    <phoneticPr fontId="2" type="noConversion"/>
  </si>
  <si>
    <t>Insturment Numbering</t>
    <phoneticPr fontId="2" type="noConversion"/>
  </si>
  <si>
    <t>C–AAAAA–BBBBCCCD–FE–NNN</t>
    <phoneticPr fontId="2" type="noConversion"/>
  </si>
  <si>
    <t>I-ET-3000.00-1200-940-P4X-001_C_Section 9.3.5.2</t>
    <phoneticPr fontId="2" type="noConversion"/>
  </si>
  <si>
    <t xml:space="preserve"> Fire and Gas Detection Loops  Tagging</t>
    <phoneticPr fontId="2" type="noConversion"/>
  </si>
  <si>
    <t>FGS Loop Numbering</t>
    <phoneticPr fontId="2" type="noConversion"/>
  </si>
  <si>
    <t xml:space="preserve">TTT–GGG–MMM–ZZZ–LXXX </t>
    <phoneticPr fontId="2" type="noConversion"/>
  </si>
  <si>
    <t xml:space="preserve">Detector Designation - Mandatory 
Prefix  Fire and Gas Loop Type 
A  Gas detector  
U  Flame/Fire detector  
Y  Smoke detector 
H  Manual alarm pushbutton 
T  Heat (Thermo-velocimetric) detector </t>
    <phoneticPr fontId="2" type="noConversion"/>
  </si>
  <si>
    <t>I-ET-3000.00-1200-940-P4X-001_C_Section 9.3.4.2</t>
    <phoneticPr fontId="2" type="noConversion"/>
  </si>
  <si>
    <t>Gas Type Designation – Mandatory only for AST  
CH4  Hydrocarbon gas detector (CH4 or others) 
H2S  Hydrogen sulfide detector 
H2  Hydrogen detector 
CO2  Carbonic gas detector</t>
    <phoneticPr fontId="2" type="noConversion"/>
  </si>
  <si>
    <t xml:space="preserve">Module or Hull section – Mandatory 
In case the instrument is located in the Hull, this field shall be filled with the 2 character code of Table 5-2 followed by a number representing the distance to the main deck (main 
deck number is 0). Examples: 
o AC2: second level of the accommodation 
o MD0: Main deck 
o ER4: Fourth level of the Engine Room </t>
    <phoneticPr fontId="2" type="noConversion"/>
  </si>
  <si>
    <t xml:space="preserve">Zone – Mandatory </t>
    <phoneticPr fontId="2" type="noConversion"/>
  </si>
  <si>
    <t xml:space="preserve"> Addressable Loop – Mandatory for Addressable instruments </t>
    <phoneticPr fontId="2" type="noConversion"/>
  </si>
  <si>
    <t xml:space="preserve"> Sequential numbering – mandatory </t>
    <phoneticPr fontId="2" type="noConversion"/>
  </si>
  <si>
    <t>8th Group (V)</t>
    <phoneticPr fontId="2" type="noConversion"/>
  </si>
  <si>
    <t xml:space="preserve"> Voting indicator - optional </t>
    <phoneticPr fontId="2" type="noConversion"/>
  </si>
  <si>
    <t xml:space="preserve">I-ET-3000.00-1200-940-P4X-001_C_Section 9.3.2.2. </t>
    <phoneticPr fontId="2" type="noConversion"/>
  </si>
  <si>
    <t>Alphabetic code suffix - Optional 
o  This character is used to distinguish identical loops that perform the same function in similar  systems,  similarly  to  what  is  done  in  Annex  1.  See  example  9.3.3.2  for clarification. 
 Voting instruments does not use the 4th group for tagging.</t>
    <phoneticPr fontId="2" type="noConversion"/>
  </si>
  <si>
    <r>
      <t xml:space="preserve">Sequential Designation - Mandatory 
o  A  set  of  3  numbers  indicating  the  sequential  order  of  the  instrument  type.  This numbering shall be consistent inside the process system, area or unit. See section 9.2.3 for the PETROBRAS sequential numbering logic for instrument tagging. 
 By “consistent”, it is meant that instruments that </t>
    </r>
    <r>
      <rPr>
        <b/>
        <sz val="11"/>
        <color rgb="FFFF0000"/>
        <rFont val="현대체 Light"/>
        <family val="1"/>
        <charset val="129"/>
      </rPr>
      <t xml:space="preserve">belong to the same loop shall have the same sequential number. </t>
    </r>
    <phoneticPr fontId="2" type="noConversion"/>
  </si>
  <si>
    <t xml:space="preserve">Defines  the  type  of  panel,  which  is  rather  PDA  (for  pneumatic)  or  MDH  (for hydraulic); </t>
    <phoneticPr fontId="2" type="noConversion"/>
  </si>
  <si>
    <t>4th Group (SS)</t>
    <phoneticPr fontId="2" type="noConversion"/>
  </si>
  <si>
    <t>3rd Group (AA)</t>
    <phoneticPr fontId="2" type="noConversion"/>
  </si>
  <si>
    <t xml:space="preserve">AA is mandatory only for PDAs, defining if the air is E (essential) or NE (Not essential). In MDH, these characters are not present; </t>
    <phoneticPr fontId="2" type="noConversion"/>
  </si>
  <si>
    <t xml:space="preserve">Represents the sequential number of the panel. </t>
    <phoneticPr fontId="2" type="noConversion"/>
  </si>
  <si>
    <r>
      <t>TTT–</t>
    </r>
    <r>
      <rPr>
        <sz val="11"/>
        <rFont val="현대체 Light"/>
        <family val="1"/>
        <charset val="129"/>
      </rPr>
      <t xml:space="preserve">MMM–AA–SS </t>
    </r>
    <phoneticPr fontId="2" type="noConversion"/>
  </si>
  <si>
    <t>I-ET-3000.00-1200-940-P4X-001_C_Section 9.4.1.</t>
    <phoneticPr fontId="2" type="noConversion"/>
  </si>
  <si>
    <t xml:space="preserve">JB TAG </t>
    <phoneticPr fontId="2" type="noConversion"/>
  </si>
  <si>
    <t>–SSS</t>
    <phoneticPr fontId="2" type="noConversion"/>
  </si>
  <si>
    <t xml:space="preserve">SSS represents the sequential number of the multicable. </t>
    <phoneticPr fontId="2" type="noConversion"/>
  </si>
  <si>
    <t>MC–JBY–SSS–AAAA–NNN–SSS</t>
    <phoneticPr fontId="2" type="noConversion"/>
  </si>
  <si>
    <t>MC–PN-BBBBCCC–SSS</t>
    <phoneticPr fontId="2" type="noConversion"/>
  </si>
  <si>
    <t>–SSS</t>
    <phoneticPr fontId="2" type="noConversion"/>
  </si>
  <si>
    <t>JBY–SSS–AAAA–NNN</t>
    <phoneticPr fontId="2" type="noConversion"/>
  </si>
  <si>
    <t>Hull HC Gas Detection Sampling</t>
    <phoneticPr fontId="2" type="noConversion"/>
  </si>
  <si>
    <t>TBD</t>
    <phoneticPr fontId="2" type="noConversion"/>
  </si>
  <si>
    <t>구조</t>
    <phoneticPr fontId="2" type="noConversion"/>
  </si>
  <si>
    <t>시스템</t>
    <phoneticPr fontId="2" type="noConversion"/>
  </si>
  <si>
    <t>I-ET-3000.00-1200-940-P4X-001_C_9.3.11</t>
    <phoneticPr fontId="2" type="noConversion"/>
  </si>
  <si>
    <t>전계장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</si>
</sst>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rgb="FFFF0000"/>
      <name val="맑은 고딕"/>
      <family val="3"/>
      <charset val="129"/>
      <scheme val="minor"/>
    </font>
    <font>
      <sz val="8"/>
      <name val="맑은 고딕"/>
      <family val="3"/>
      <charset val="129"/>
      <scheme val="minor"/>
    </font>
    <font>
      <sz val="11"/>
      <color theme="1"/>
      <name val="현대체 Light"/>
      <family val="1"/>
      <charset val="129"/>
    </font>
    <font>
      <sz val="11"/>
      <color rgb="FFFF0000"/>
      <name val="현대체 Light"/>
      <family val="1"/>
      <charset val="129"/>
    </font>
    <font>
      <b/>
      <sz val="11"/>
      <color theme="1"/>
      <name val="현대체 Light"/>
      <family val="1"/>
      <charset val="129"/>
    </font>
    <font>
      <b/>
      <sz val="11"/>
      <color rgb="FFFF0000"/>
      <name val="현대체 Light"/>
      <family val="1"/>
      <charset val="129"/>
    </font>
    <font>
      <sz val="14"/>
      <color theme="1"/>
      <name val="현대체 Light"/>
      <family val="1"/>
      <charset val="129"/>
    </font>
    <font>
      <sz val="16"/>
      <color theme="1"/>
      <name val="현대체 Light"/>
      <family val="1"/>
      <charset val="129"/>
    </font>
    <font>
      <sz val="16"/>
      <color rgb="FFFF0000"/>
      <name val="현대체 Light"/>
      <family val="1"/>
      <charset val="129"/>
    </font>
    <font>
      <sz val="14"/>
      <color rgb="FFFF0000"/>
      <name val="현대체 Light"/>
      <family val="1"/>
      <charset val="129"/>
    </font>
    <font>
      <sz val="11"/>
      <name val="현대체 Light"/>
      <family val="1"/>
      <charset val="129"/>
    </font>
  </fonts>
  <fills count="6">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40">
    <xf numFmtId="0" fontId="0" fillId="0" borderId="0" xfId="0">
      <alignment vertical="center"/>
    </xf>
    <xf numFmtId="0" fontId="0" fillId="0" borderId="0" xfId="0" applyAlignment="1">
      <alignment vertical="center" wrapText="1"/>
    </xf>
    <xf numFmtId="0" fontId="5" fillId="0" borderId="1" xfId="0" applyFont="1" applyBorder="1" applyAlignment="1">
      <alignment horizontal="center" vertical="center"/>
    </xf>
    <xf numFmtId="0" fontId="5" fillId="0" borderId="1" xfId="0" applyFont="1" applyBorder="1">
      <alignment vertical="center"/>
    </xf>
    <xf numFmtId="0" fontId="5" fillId="0" borderId="1" xfId="0" quotePrefix="1" applyFont="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lignment vertical="center"/>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xf>
    <xf numFmtId="0" fontId="5" fillId="0" borderId="0" xfId="0" applyFont="1">
      <alignment vertical="center"/>
    </xf>
    <xf numFmtId="0" fontId="5" fillId="2" borderId="1" xfId="0" applyFont="1" applyFill="1" applyBorder="1">
      <alignment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5" fillId="4" borderId="1" xfId="0" applyFont="1" applyFill="1" applyBorder="1">
      <alignment vertical="center"/>
    </xf>
    <xf numFmtId="0" fontId="5" fillId="0" borderId="1" xfId="0" applyFont="1" applyFill="1" applyBorder="1">
      <alignment vertical="center"/>
    </xf>
    <xf numFmtId="0" fontId="5" fillId="0" borderId="1" xfId="0" applyFont="1" applyBorder="1" applyAlignment="1">
      <alignment vertical="center" wrapText="1"/>
    </xf>
    <xf numFmtId="0" fontId="5" fillId="0" borderId="1" xfId="0" applyFont="1" applyFill="1" applyBorder="1" applyAlignment="1">
      <alignment vertical="center" wrapText="1"/>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6" fillId="0" borderId="1" xfId="0" applyFont="1" applyBorder="1" applyAlignment="1">
      <alignment horizontal="center" vertical="center"/>
    </xf>
    <xf numFmtId="0" fontId="6" fillId="0" borderId="1" xfId="0" applyFont="1" applyBorder="1">
      <alignment vertical="center"/>
    </xf>
    <xf numFmtId="0" fontId="6" fillId="0" borderId="1" xfId="0" applyFont="1" applyFill="1" applyBorder="1">
      <alignment vertical="center"/>
    </xf>
    <xf numFmtId="0" fontId="7" fillId="0" borderId="1" xfId="0" applyFont="1" applyBorder="1">
      <alignment vertical="center"/>
    </xf>
    <xf numFmtId="0" fontId="0" fillId="0" borderId="0" xfId="0" applyFont="1">
      <alignment vertical="center"/>
    </xf>
    <xf numFmtId="0" fontId="5" fillId="0" borderId="0" xfId="0" applyFont="1" applyAlignment="1">
      <alignment vertical="center" wrapText="1"/>
    </xf>
    <xf numFmtId="0" fontId="9" fillId="0" borderId="1" xfId="0" applyFont="1" applyBorder="1">
      <alignment vertical="center"/>
    </xf>
    <xf numFmtId="0" fontId="10" fillId="0" borderId="1" xfId="0" applyFont="1" applyBorder="1">
      <alignment vertical="center"/>
    </xf>
    <xf numFmtId="0" fontId="5" fillId="3" borderId="1" xfId="0" applyFont="1" applyFill="1" applyBorder="1" applyAlignment="1">
      <alignment vertical="center" wrapText="1"/>
    </xf>
    <xf numFmtId="0" fontId="6" fillId="0" borderId="4" xfId="0" applyFont="1" applyFill="1" applyBorder="1">
      <alignment vertical="center"/>
    </xf>
    <xf numFmtId="0" fontId="1" fillId="0" borderId="0" xfId="0" applyFont="1">
      <alignment vertical="center"/>
    </xf>
    <xf numFmtId="0" fontId="3" fillId="0" borderId="0" xfId="0" applyFont="1">
      <alignment vertical="center"/>
    </xf>
    <xf numFmtId="0" fontId="13" fillId="0" borderId="1" xfId="0" applyFont="1" applyBorder="1">
      <alignment vertical="center"/>
    </xf>
    <xf numFmtId="0" fontId="5" fillId="5" borderId="1" xfId="0" applyFont="1" applyFill="1" applyBorder="1">
      <alignment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5" fillId="0" borderId="1" xfId="0" applyFont="1" applyBorder="1" applyAlignment="1">
      <alignment horizontal="center" vertical="center" wrapText="1"/>
    </xf>
    <xf numFmtId="0" fontId="10" fillId="0" borderId="2"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xdr:col>
      <xdr:colOff>2781300</xdr:colOff>
      <xdr:row>2</xdr:row>
      <xdr:rowOff>152401</xdr:rowOff>
    </xdr:from>
    <xdr:to>
      <xdr:col>2</xdr:col>
      <xdr:colOff>5851085</xdr:colOff>
      <xdr:row>2</xdr:row>
      <xdr:rowOff>2038351</xdr:rowOff>
    </xdr:to>
    <xdr:pic>
      <xdr:nvPicPr>
        <xdr:cNvPr id="5" name="그림 4"/>
        <xdr:cNvPicPr>
          <a:picLocks noChangeAspect="1"/>
        </xdr:cNvPicPr>
      </xdr:nvPicPr>
      <xdr:blipFill>
        <a:blip xmlns:r="http://schemas.openxmlformats.org/officeDocument/2006/relationships" r:embed="rId1"/>
        <a:stretch>
          <a:fillRect/>
        </a:stretch>
      </xdr:blipFill>
      <xdr:spPr>
        <a:xfrm>
          <a:off x="8763000" y="800101"/>
          <a:ext cx="3069785" cy="1885950"/>
        </a:xfrm>
        <a:prstGeom prst="rect">
          <a:avLst/>
        </a:prstGeom>
      </xdr:spPr>
    </xdr:pic>
    <xdr:clientData/>
  </xdr:twoCellAnchor>
  <xdr:twoCellAnchor editAs="oneCell">
    <xdr:from>
      <xdr:col>2</xdr:col>
      <xdr:colOff>238125</xdr:colOff>
      <xdr:row>2</xdr:row>
      <xdr:rowOff>161926</xdr:rowOff>
    </xdr:from>
    <xdr:to>
      <xdr:col>2</xdr:col>
      <xdr:colOff>2466975</xdr:colOff>
      <xdr:row>2</xdr:row>
      <xdr:rowOff>3047336</xdr:rowOff>
    </xdr:to>
    <xdr:pic>
      <xdr:nvPicPr>
        <xdr:cNvPr id="7" name="그림 6"/>
        <xdr:cNvPicPr>
          <a:picLocks noChangeAspect="1"/>
        </xdr:cNvPicPr>
      </xdr:nvPicPr>
      <xdr:blipFill>
        <a:blip xmlns:r="http://schemas.openxmlformats.org/officeDocument/2006/relationships" r:embed="rId2"/>
        <a:stretch>
          <a:fillRect/>
        </a:stretch>
      </xdr:blipFill>
      <xdr:spPr>
        <a:xfrm>
          <a:off x="6219825" y="809626"/>
          <a:ext cx="2228850" cy="2885410"/>
        </a:xfrm>
        <a:prstGeom prst="rect">
          <a:avLst/>
        </a:prstGeom>
      </xdr:spPr>
    </xdr:pic>
    <xdr:clientData/>
  </xdr:twoCellAnchor>
  <xdr:twoCellAnchor editAs="oneCell">
    <xdr:from>
      <xdr:col>2</xdr:col>
      <xdr:colOff>6105525</xdr:colOff>
      <xdr:row>2</xdr:row>
      <xdr:rowOff>123825</xdr:rowOff>
    </xdr:from>
    <xdr:to>
      <xdr:col>2</xdr:col>
      <xdr:colOff>8597830</xdr:colOff>
      <xdr:row>2</xdr:row>
      <xdr:rowOff>3190875</xdr:rowOff>
    </xdr:to>
    <xdr:pic>
      <xdr:nvPicPr>
        <xdr:cNvPr id="8" name="그림 7"/>
        <xdr:cNvPicPr>
          <a:picLocks noChangeAspect="1"/>
        </xdr:cNvPicPr>
      </xdr:nvPicPr>
      <xdr:blipFill>
        <a:blip xmlns:r="http://schemas.openxmlformats.org/officeDocument/2006/relationships" r:embed="rId3"/>
        <a:stretch>
          <a:fillRect/>
        </a:stretch>
      </xdr:blipFill>
      <xdr:spPr>
        <a:xfrm>
          <a:off x="12087225" y="771525"/>
          <a:ext cx="2492305" cy="3067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85725</xdr:colOff>
      <xdr:row>2</xdr:row>
      <xdr:rowOff>304801</xdr:rowOff>
    </xdr:from>
    <xdr:to>
      <xdr:col>2</xdr:col>
      <xdr:colOff>4414363</xdr:colOff>
      <xdr:row>2</xdr:row>
      <xdr:rowOff>2724151</xdr:rowOff>
    </xdr:to>
    <xdr:pic>
      <xdr:nvPicPr>
        <xdr:cNvPr id="7" name="그림 6"/>
        <xdr:cNvPicPr>
          <a:picLocks noChangeAspect="1"/>
        </xdr:cNvPicPr>
      </xdr:nvPicPr>
      <xdr:blipFill>
        <a:blip xmlns:r="http://schemas.openxmlformats.org/officeDocument/2006/relationships" r:embed="rId1"/>
        <a:stretch>
          <a:fillRect/>
        </a:stretch>
      </xdr:blipFill>
      <xdr:spPr>
        <a:xfrm>
          <a:off x="7581900" y="952501"/>
          <a:ext cx="4328638" cy="2419350"/>
        </a:xfrm>
        <a:prstGeom prst="rect">
          <a:avLst/>
        </a:prstGeom>
      </xdr:spPr>
    </xdr:pic>
    <xdr:clientData/>
  </xdr:twoCellAnchor>
  <xdr:twoCellAnchor editAs="oneCell">
    <xdr:from>
      <xdr:col>2</xdr:col>
      <xdr:colOff>4591050</xdr:colOff>
      <xdr:row>2</xdr:row>
      <xdr:rowOff>476250</xdr:rowOff>
    </xdr:from>
    <xdr:to>
      <xdr:col>2</xdr:col>
      <xdr:colOff>6622087</xdr:colOff>
      <xdr:row>2</xdr:row>
      <xdr:rowOff>2638425</xdr:rowOff>
    </xdr:to>
    <xdr:pic>
      <xdr:nvPicPr>
        <xdr:cNvPr id="8" name="그림 7"/>
        <xdr:cNvPicPr>
          <a:picLocks noChangeAspect="1"/>
        </xdr:cNvPicPr>
      </xdr:nvPicPr>
      <xdr:blipFill>
        <a:blip xmlns:r="http://schemas.openxmlformats.org/officeDocument/2006/relationships" r:embed="rId2"/>
        <a:stretch>
          <a:fillRect/>
        </a:stretch>
      </xdr:blipFill>
      <xdr:spPr>
        <a:xfrm>
          <a:off x="12087225" y="1123950"/>
          <a:ext cx="2031037" cy="2162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45</xdr:row>
      <xdr:rowOff>114300</xdr:rowOff>
    </xdr:from>
    <xdr:to>
      <xdr:col>2</xdr:col>
      <xdr:colOff>101287</xdr:colOff>
      <xdr:row>63</xdr:row>
      <xdr:rowOff>104304</xdr:rowOff>
    </xdr:to>
    <xdr:pic>
      <xdr:nvPicPr>
        <xdr:cNvPr id="3" name="그림 2"/>
        <xdr:cNvPicPr>
          <a:picLocks noChangeAspect="1"/>
        </xdr:cNvPicPr>
      </xdr:nvPicPr>
      <xdr:blipFill>
        <a:blip xmlns:r="http://schemas.openxmlformats.org/officeDocument/2006/relationships" r:embed="rId1"/>
        <a:stretch>
          <a:fillRect/>
        </a:stretch>
      </xdr:blipFill>
      <xdr:spPr>
        <a:xfrm>
          <a:off x="126547" y="12687300"/>
          <a:ext cx="6082987" cy="37619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44</xdr:row>
      <xdr:rowOff>114300</xdr:rowOff>
    </xdr:from>
    <xdr:to>
      <xdr:col>2</xdr:col>
      <xdr:colOff>101287</xdr:colOff>
      <xdr:row>62</xdr:row>
      <xdr:rowOff>104304</xdr:rowOff>
    </xdr:to>
    <xdr:pic>
      <xdr:nvPicPr>
        <xdr:cNvPr id="2" name="그림 1"/>
        <xdr:cNvPicPr>
          <a:picLocks noChangeAspect="1"/>
        </xdr:cNvPicPr>
      </xdr:nvPicPr>
      <xdr:blipFill>
        <a:blip xmlns:r="http://schemas.openxmlformats.org/officeDocument/2006/relationships" r:embed="rId1"/>
        <a:stretch>
          <a:fillRect/>
        </a:stretch>
      </xdr:blipFill>
      <xdr:spPr>
        <a:xfrm>
          <a:off x="0" y="11696700"/>
          <a:ext cx="6082987" cy="37619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42</xdr:row>
      <xdr:rowOff>114300</xdr:rowOff>
    </xdr:from>
    <xdr:to>
      <xdr:col>2</xdr:col>
      <xdr:colOff>101287</xdr:colOff>
      <xdr:row>60</xdr:row>
      <xdr:rowOff>104306</xdr:rowOff>
    </xdr:to>
    <xdr:pic>
      <xdr:nvPicPr>
        <xdr:cNvPr id="2" name="그림 1"/>
        <xdr:cNvPicPr>
          <a:picLocks noChangeAspect="1"/>
        </xdr:cNvPicPr>
      </xdr:nvPicPr>
      <xdr:blipFill>
        <a:blip xmlns:r="http://schemas.openxmlformats.org/officeDocument/2006/relationships" r:embed="rId1"/>
        <a:stretch>
          <a:fillRect/>
        </a:stretch>
      </xdr:blipFill>
      <xdr:spPr>
        <a:xfrm>
          <a:off x="126547" y="11220450"/>
          <a:ext cx="6082987" cy="37619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36</xdr:row>
      <xdr:rowOff>114300</xdr:rowOff>
    </xdr:from>
    <xdr:to>
      <xdr:col>2</xdr:col>
      <xdr:colOff>101287</xdr:colOff>
      <xdr:row>54</xdr:row>
      <xdr:rowOff>104305</xdr:rowOff>
    </xdr:to>
    <xdr:pic>
      <xdr:nvPicPr>
        <xdr:cNvPr id="2" name="그림 1"/>
        <xdr:cNvPicPr>
          <a:picLocks noChangeAspect="1"/>
        </xdr:cNvPicPr>
      </xdr:nvPicPr>
      <xdr:blipFill>
        <a:blip xmlns:r="http://schemas.openxmlformats.org/officeDocument/2006/relationships" r:embed="rId1"/>
        <a:stretch>
          <a:fillRect/>
        </a:stretch>
      </xdr:blipFill>
      <xdr:spPr>
        <a:xfrm>
          <a:off x="126547" y="10477500"/>
          <a:ext cx="6082987" cy="37619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9</xdr:row>
      <xdr:rowOff>68036</xdr:rowOff>
    </xdr:from>
    <xdr:to>
      <xdr:col>2</xdr:col>
      <xdr:colOff>105179</xdr:colOff>
      <xdr:row>26</xdr:row>
      <xdr:rowOff>160119</xdr:rowOff>
    </xdr:to>
    <xdr:pic>
      <xdr:nvPicPr>
        <xdr:cNvPr id="2" name="그림 1"/>
        <xdr:cNvPicPr>
          <a:picLocks noChangeAspect="1"/>
        </xdr:cNvPicPr>
      </xdr:nvPicPr>
      <xdr:blipFill>
        <a:blip xmlns:r="http://schemas.openxmlformats.org/officeDocument/2006/relationships" r:embed="rId1"/>
        <a:stretch>
          <a:fillRect/>
        </a:stretch>
      </xdr:blipFill>
      <xdr:spPr>
        <a:xfrm>
          <a:off x="0" y="4531179"/>
          <a:ext cx="7657143" cy="3561905"/>
        </a:xfrm>
        <a:prstGeom prst="rect">
          <a:avLst/>
        </a:prstGeom>
      </xdr:spPr>
    </xdr:pic>
    <xdr:clientData/>
  </xdr:twoCellAnchor>
  <xdr:twoCellAnchor editAs="oneCell">
    <xdr:from>
      <xdr:col>0</xdr:col>
      <xdr:colOff>775608</xdr:colOff>
      <xdr:row>28</xdr:row>
      <xdr:rowOff>122464</xdr:rowOff>
    </xdr:from>
    <xdr:to>
      <xdr:col>2</xdr:col>
      <xdr:colOff>911680</xdr:colOff>
      <xdr:row>37</xdr:row>
      <xdr:rowOff>35572</xdr:rowOff>
    </xdr:to>
    <xdr:pic>
      <xdr:nvPicPr>
        <xdr:cNvPr id="3" name="그림 2"/>
        <xdr:cNvPicPr>
          <a:picLocks noChangeAspect="1"/>
        </xdr:cNvPicPr>
      </xdr:nvPicPr>
      <xdr:blipFill>
        <a:blip xmlns:r="http://schemas.openxmlformats.org/officeDocument/2006/relationships" r:embed="rId2"/>
        <a:stretch>
          <a:fillRect/>
        </a:stretch>
      </xdr:blipFill>
      <xdr:spPr>
        <a:xfrm>
          <a:off x="775608" y="8694964"/>
          <a:ext cx="7688036" cy="17500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212911</xdr:colOff>
      <xdr:row>0</xdr:row>
      <xdr:rowOff>166140</xdr:rowOff>
    </xdr:from>
    <xdr:to>
      <xdr:col>17</xdr:col>
      <xdr:colOff>479028</xdr:colOff>
      <xdr:row>9</xdr:row>
      <xdr:rowOff>359530</xdr:rowOff>
    </xdr:to>
    <xdr:pic>
      <xdr:nvPicPr>
        <xdr:cNvPr id="5" name="그림 4"/>
        <xdr:cNvPicPr>
          <a:picLocks noChangeAspect="1"/>
        </xdr:cNvPicPr>
      </xdr:nvPicPr>
      <xdr:blipFill>
        <a:blip xmlns:r="http://schemas.openxmlformats.org/officeDocument/2006/relationships" r:embed="rId1"/>
        <a:stretch>
          <a:fillRect/>
        </a:stretch>
      </xdr:blipFill>
      <xdr:spPr>
        <a:xfrm>
          <a:off x="15080194" y="166140"/>
          <a:ext cx="9203051" cy="2951499"/>
        </a:xfrm>
        <a:prstGeom prst="rect">
          <a:avLst/>
        </a:prstGeom>
      </xdr:spPr>
    </xdr:pic>
    <xdr:clientData/>
  </xdr:twoCellAnchor>
  <xdr:twoCellAnchor editAs="oneCell">
    <xdr:from>
      <xdr:col>4</xdr:col>
      <xdr:colOff>112058</xdr:colOff>
      <xdr:row>11</xdr:row>
      <xdr:rowOff>123265</xdr:rowOff>
    </xdr:from>
    <xdr:to>
      <xdr:col>17</xdr:col>
      <xdr:colOff>511508</xdr:colOff>
      <xdr:row>19</xdr:row>
      <xdr:rowOff>89378</xdr:rowOff>
    </xdr:to>
    <xdr:pic>
      <xdr:nvPicPr>
        <xdr:cNvPr id="6" name="그림 5"/>
        <xdr:cNvPicPr>
          <a:picLocks noChangeAspect="1"/>
        </xdr:cNvPicPr>
      </xdr:nvPicPr>
      <xdr:blipFill>
        <a:blip xmlns:r="http://schemas.openxmlformats.org/officeDocument/2006/relationships" r:embed="rId2"/>
        <a:stretch>
          <a:fillRect/>
        </a:stretch>
      </xdr:blipFill>
      <xdr:spPr>
        <a:xfrm>
          <a:off x="15677029" y="3866030"/>
          <a:ext cx="9285714" cy="211428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tabSelected="1" zoomScale="85" zoomScaleNormal="85" workbookViewId="0">
      <selection activeCell="B3" sqref="B3"/>
    </sheetView>
  </sheetViews>
  <sheetFormatPr defaultRowHeight="16.5" x14ac:dyDescent="0.3"/>
  <cols>
    <col min="1" max="1" width="22" bestFit="1" customWidth="1"/>
    <col min="2" max="2" width="56.5" bestFit="1" customWidth="1"/>
    <col min="3" max="3" width="113.625" customWidth="1"/>
  </cols>
  <sheetData>
    <row r="1" spans="1:3" ht="34.5" customHeight="1" x14ac:dyDescent="0.3">
      <c r="A1" s="33" t="s">
        <v>170</v>
      </c>
      <c r="B1" s="34"/>
      <c r="C1" s="26" t="s">
        <v>2</v>
      </c>
    </row>
    <row r="2" spans="1:3" x14ac:dyDescent="0.3">
      <c r="A2" s="3" t="s">
        <v>0</v>
      </c>
      <c r="B2" s="10" t="s">
        <v>198</v>
      </c>
      <c r="C2" s="31" t="s">
        <v>219</v>
      </c>
    </row>
    <row r="3" spans="1:3" ht="261.75" customHeight="1" x14ac:dyDescent="0.3">
      <c r="A3" s="3" t="s">
        <v>1</v>
      </c>
      <c r="B3" s="15" t="s">
        <v>185</v>
      </c>
      <c r="C3" s="15"/>
    </row>
    <row r="4" spans="1:3" ht="54.75" customHeight="1" x14ac:dyDescent="0.3">
      <c r="A4" s="6" t="s">
        <v>199</v>
      </c>
      <c r="B4" s="6" t="s">
        <v>64</v>
      </c>
      <c r="C4" s="27" t="s">
        <v>171</v>
      </c>
    </row>
    <row r="5" spans="1:3" ht="81" x14ac:dyDescent="0.3">
      <c r="A5" s="3" t="s">
        <v>5</v>
      </c>
      <c r="B5" s="3" t="s">
        <v>6</v>
      </c>
      <c r="C5" s="15" t="s">
        <v>172</v>
      </c>
    </row>
    <row r="6" spans="1:3" ht="54" x14ac:dyDescent="0.3">
      <c r="A6" s="3" t="s">
        <v>3</v>
      </c>
      <c r="B6" s="3" t="s">
        <v>4</v>
      </c>
      <c r="C6" s="15" t="s">
        <v>7</v>
      </c>
    </row>
    <row r="7" spans="1:3" ht="216" x14ac:dyDescent="0.3">
      <c r="A7" s="3" t="s">
        <v>59</v>
      </c>
      <c r="B7" s="3" t="s">
        <v>61</v>
      </c>
      <c r="C7" s="15" t="s">
        <v>197</v>
      </c>
    </row>
    <row r="8" spans="1:3" ht="259.5" customHeight="1" x14ac:dyDescent="0.3">
      <c r="A8" s="3" t="s">
        <v>60</v>
      </c>
      <c r="B8" s="3" t="s">
        <v>62</v>
      </c>
      <c r="C8" s="15" t="s">
        <v>63</v>
      </c>
    </row>
    <row r="9" spans="1:3" x14ac:dyDescent="0.3">
      <c r="C9" s="1"/>
    </row>
    <row r="10" spans="1:3" x14ac:dyDescent="0.3">
      <c r="C10" s="1"/>
    </row>
    <row r="11" spans="1:3" x14ac:dyDescent="0.3">
      <c r="C11" s="1"/>
    </row>
    <row r="12" spans="1:3" x14ac:dyDescent="0.3">
      <c r="C12" s="1"/>
    </row>
    <row r="13" spans="1:3" x14ac:dyDescent="0.3">
      <c r="C13" s="1"/>
    </row>
    <row r="14" spans="1:3" x14ac:dyDescent="0.3">
      <c r="C14" s="1"/>
    </row>
    <row r="15" spans="1:3" x14ac:dyDescent="0.3">
      <c r="C15" s="1"/>
    </row>
    <row r="16" spans="1:3" x14ac:dyDescent="0.3">
      <c r="C16" s="1"/>
    </row>
    <row r="17" spans="3:3" x14ac:dyDescent="0.3">
      <c r="C17" s="1"/>
    </row>
    <row r="18" spans="3:3" x14ac:dyDescent="0.3">
      <c r="C18" s="1"/>
    </row>
    <row r="19" spans="3:3" x14ac:dyDescent="0.3">
      <c r="C19" s="1"/>
    </row>
    <row r="20" spans="3:3" x14ac:dyDescent="0.3">
      <c r="C20" s="1"/>
    </row>
    <row r="21" spans="3:3" x14ac:dyDescent="0.3">
      <c r="C21" s="1"/>
    </row>
    <row r="22" spans="3:3" x14ac:dyDescent="0.3">
      <c r="C22" s="1"/>
    </row>
    <row r="23" spans="3:3" x14ac:dyDescent="0.3">
      <c r="C23" s="1"/>
    </row>
    <row r="24" spans="3:3" x14ac:dyDescent="0.3">
      <c r="C24" s="1"/>
    </row>
  </sheetData>
  <mergeCells count="1">
    <mergeCell ref="A1:B1"/>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zoomScaleNormal="100" workbookViewId="0">
      <selection activeCell="C2" sqref="C2"/>
    </sheetView>
  </sheetViews>
  <sheetFormatPr defaultRowHeight="16.5" x14ac:dyDescent="0.3"/>
  <cols>
    <col min="1" max="1" width="22" bestFit="1" customWidth="1"/>
    <col min="2" max="2" width="73.5" customWidth="1"/>
    <col min="3" max="3" width="92.125" customWidth="1"/>
  </cols>
  <sheetData>
    <row r="1" spans="1:3" ht="34.5" customHeight="1" x14ac:dyDescent="0.3">
      <c r="A1" s="33" t="s">
        <v>178</v>
      </c>
      <c r="B1" s="34"/>
      <c r="C1" s="26" t="s">
        <v>2</v>
      </c>
    </row>
    <row r="2" spans="1:3" x14ac:dyDescent="0.3">
      <c r="A2" s="3" t="s">
        <v>179</v>
      </c>
      <c r="B2" s="10" t="s">
        <v>180</v>
      </c>
      <c r="C2" s="31" t="s">
        <v>183</v>
      </c>
    </row>
    <row r="3" spans="1:3" ht="237" customHeight="1" x14ac:dyDescent="0.3">
      <c r="A3" s="3" t="s">
        <v>181</v>
      </c>
      <c r="B3" s="15" t="s">
        <v>182</v>
      </c>
      <c r="C3" s="15"/>
    </row>
    <row r="4" spans="1:3" ht="78" customHeight="1" x14ac:dyDescent="0.3">
      <c r="A4" s="6" t="s">
        <v>199</v>
      </c>
      <c r="B4" s="27" t="s">
        <v>195</v>
      </c>
      <c r="C4" s="27" t="s">
        <v>196</v>
      </c>
    </row>
    <row r="5" spans="1:3" ht="270" customHeight="1" x14ac:dyDescent="0.3">
      <c r="A5" s="3" t="s">
        <v>5</v>
      </c>
      <c r="B5" s="15" t="s">
        <v>221</v>
      </c>
      <c r="C5" s="15" t="s">
        <v>184</v>
      </c>
    </row>
    <row r="6" spans="1:3" ht="146.25" customHeight="1" x14ac:dyDescent="0.3">
      <c r="A6" s="3" t="s">
        <v>3</v>
      </c>
      <c r="B6" s="15" t="s">
        <v>220</v>
      </c>
      <c r="C6" s="15"/>
    </row>
    <row r="7" spans="1:3" x14ac:dyDescent="0.3">
      <c r="C7" s="1"/>
    </row>
    <row r="8" spans="1:3" x14ac:dyDescent="0.3">
      <c r="C8" s="1"/>
    </row>
    <row r="9" spans="1:3" x14ac:dyDescent="0.3">
      <c r="C9" s="1"/>
    </row>
    <row r="10" spans="1:3" x14ac:dyDescent="0.3">
      <c r="C10" s="1"/>
    </row>
    <row r="11" spans="1:3" x14ac:dyDescent="0.3">
      <c r="C11" s="1"/>
    </row>
    <row r="12" spans="1:3" x14ac:dyDescent="0.3">
      <c r="C12" s="1"/>
    </row>
    <row r="13" spans="1:3" x14ac:dyDescent="0.3">
      <c r="C13" s="1"/>
    </row>
    <row r="14" spans="1:3" x14ac:dyDescent="0.3">
      <c r="C14" s="1"/>
    </row>
    <row r="15" spans="1:3" x14ac:dyDescent="0.3">
      <c r="C15" s="1"/>
    </row>
    <row r="16" spans="1:3" x14ac:dyDescent="0.3">
      <c r="C16" s="1"/>
    </row>
    <row r="17" spans="3:3" x14ac:dyDescent="0.3">
      <c r="C17" s="1"/>
    </row>
    <row r="18" spans="3:3" x14ac:dyDescent="0.3">
      <c r="C18" s="1"/>
    </row>
    <row r="19" spans="3:3" x14ac:dyDescent="0.3">
      <c r="C19" s="1"/>
    </row>
    <row r="20" spans="3:3" x14ac:dyDescent="0.3">
      <c r="C20" s="1"/>
    </row>
    <row r="21" spans="3:3" x14ac:dyDescent="0.3">
      <c r="C21" s="1"/>
    </row>
    <row r="22" spans="3:3" x14ac:dyDescent="0.3">
      <c r="C22" s="1"/>
    </row>
  </sheetData>
  <mergeCells count="1">
    <mergeCell ref="A1:B1"/>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zoomScale="130" zoomScaleNormal="130" workbookViewId="0">
      <selection activeCell="B14" sqref="B14"/>
    </sheetView>
  </sheetViews>
  <sheetFormatPr defaultRowHeight="16.5" x14ac:dyDescent="0.3"/>
  <cols>
    <col min="1" max="1" width="22" bestFit="1" customWidth="1"/>
    <col min="2" max="2" width="56.5" bestFit="1" customWidth="1"/>
    <col min="3" max="3" width="67.875" customWidth="1"/>
  </cols>
  <sheetData>
    <row r="1" spans="1:3" ht="17.25" x14ac:dyDescent="0.3">
      <c r="A1" s="35" t="s">
        <v>168</v>
      </c>
      <c r="B1" s="36"/>
      <c r="C1" s="25" t="s">
        <v>2</v>
      </c>
    </row>
    <row r="2" spans="1:3" x14ac:dyDescent="0.3">
      <c r="A2" s="3" t="s">
        <v>169</v>
      </c>
      <c r="B2" s="10" t="s">
        <v>200</v>
      </c>
      <c r="C2" s="3" t="s">
        <v>206</v>
      </c>
    </row>
    <row r="3" spans="1:3" ht="115.5" customHeight="1" x14ac:dyDescent="0.3">
      <c r="A3" s="3" t="s">
        <v>36</v>
      </c>
      <c r="B3" s="15" t="s">
        <v>37</v>
      </c>
      <c r="C3" s="3" t="s">
        <v>206</v>
      </c>
    </row>
    <row r="4" spans="1:3" ht="75.75" customHeight="1" x14ac:dyDescent="0.3">
      <c r="A4" s="3" t="s">
        <v>38</v>
      </c>
      <c r="B4" s="15" t="s">
        <v>65</v>
      </c>
      <c r="C4" s="3" t="s">
        <v>206</v>
      </c>
    </row>
    <row r="5" spans="1:3" ht="27" x14ac:dyDescent="0.3">
      <c r="A5" s="3" t="s">
        <v>39</v>
      </c>
      <c r="B5" s="15" t="s">
        <v>48</v>
      </c>
      <c r="C5" s="3" t="s">
        <v>206</v>
      </c>
    </row>
    <row r="6" spans="1:3" x14ac:dyDescent="0.3">
      <c r="A6" s="3" t="s">
        <v>40</v>
      </c>
      <c r="B6" s="3" t="s">
        <v>46</v>
      </c>
      <c r="C6" s="3" t="s">
        <v>206</v>
      </c>
    </row>
    <row r="7" spans="1:3" x14ac:dyDescent="0.3">
      <c r="A7" s="3" t="s">
        <v>41</v>
      </c>
      <c r="B7" s="3" t="s">
        <v>47</v>
      </c>
      <c r="C7" s="3" t="s">
        <v>206</v>
      </c>
    </row>
    <row r="8" spans="1:3" x14ac:dyDescent="0.3">
      <c r="A8" s="3" t="s">
        <v>42</v>
      </c>
      <c r="B8" s="3" t="s">
        <v>43</v>
      </c>
      <c r="C8" s="3" t="s">
        <v>206</v>
      </c>
    </row>
    <row r="9" spans="1:3" x14ac:dyDescent="0.3">
      <c r="A9" s="3" t="s">
        <v>44</v>
      </c>
      <c r="B9" s="3" t="s">
        <v>45</v>
      </c>
      <c r="C9" s="3" t="s">
        <v>206</v>
      </c>
    </row>
    <row r="10" spans="1:3" x14ac:dyDescent="0.3">
      <c r="A10" s="3" t="s">
        <v>217</v>
      </c>
      <c r="B10" s="3" t="s">
        <v>218</v>
      </c>
      <c r="C10" s="3" t="s">
        <v>206</v>
      </c>
    </row>
    <row r="11" spans="1:3" x14ac:dyDescent="0.3">
      <c r="C11" s="1"/>
    </row>
    <row r="12" spans="1:3" x14ac:dyDescent="0.3">
      <c r="C12" s="1"/>
    </row>
    <row r="13" spans="1:3" x14ac:dyDescent="0.3">
      <c r="C13" s="1"/>
    </row>
    <row r="14" spans="1:3" x14ac:dyDescent="0.3">
      <c r="C14" s="1"/>
    </row>
    <row r="15" spans="1:3" x14ac:dyDescent="0.3">
      <c r="C15" s="1"/>
    </row>
    <row r="16" spans="1:3" x14ac:dyDescent="0.3">
      <c r="C16" s="1"/>
    </row>
    <row r="17" spans="3:3" x14ac:dyDescent="0.3">
      <c r="C17" s="1"/>
    </row>
    <row r="18" spans="3:3" x14ac:dyDescent="0.3">
      <c r="C18" s="1"/>
    </row>
    <row r="19" spans="3:3" x14ac:dyDescent="0.3">
      <c r="C19" s="1"/>
    </row>
    <row r="20" spans="3:3" x14ac:dyDescent="0.3">
      <c r="C20" s="1"/>
    </row>
    <row r="21" spans="3:3" x14ac:dyDescent="0.3">
      <c r="C21" s="1"/>
    </row>
    <row r="22" spans="3:3" x14ac:dyDescent="0.3">
      <c r="C22" s="1"/>
    </row>
    <row r="23" spans="3:3" x14ac:dyDescent="0.3">
      <c r="C23" s="1"/>
    </row>
    <row r="24" spans="3:3" x14ac:dyDescent="0.3">
      <c r="C24" s="1"/>
    </row>
  </sheetData>
  <mergeCells count="1">
    <mergeCell ref="A1:B1"/>
  </mergeCells>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Views>
    <sheetView zoomScale="130" zoomScaleNormal="130" workbookViewId="0">
      <selection activeCell="B10" sqref="B10"/>
    </sheetView>
  </sheetViews>
  <sheetFormatPr defaultRowHeight="16.5" x14ac:dyDescent="0.3"/>
  <cols>
    <col min="1" max="1" width="22" bestFit="1" customWidth="1"/>
    <col min="2" max="2" width="56.5" bestFit="1" customWidth="1"/>
    <col min="3" max="3" width="67.875" customWidth="1"/>
  </cols>
  <sheetData>
    <row r="1" spans="1:3" ht="17.25" x14ac:dyDescent="0.3">
      <c r="A1" s="35" t="s">
        <v>207</v>
      </c>
      <c r="B1" s="36"/>
      <c r="C1" s="25" t="s">
        <v>2</v>
      </c>
    </row>
    <row r="2" spans="1:3" x14ac:dyDescent="0.3">
      <c r="A2" s="3" t="s">
        <v>208</v>
      </c>
      <c r="B2" s="10" t="s">
        <v>209</v>
      </c>
      <c r="C2" s="3" t="s">
        <v>211</v>
      </c>
    </row>
    <row r="3" spans="1:3" ht="115.5" customHeight="1" x14ac:dyDescent="0.3">
      <c r="A3" s="3" t="s">
        <v>36</v>
      </c>
      <c r="B3" s="15" t="s">
        <v>210</v>
      </c>
      <c r="C3" s="3" t="s">
        <v>211</v>
      </c>
    </row>
    <row r="4" spans="1:3" ht="112.5" customHeight="1" x14ac:dyDescent="0.3">
      <c r="A4" s="3" t="s">
        <v>38</v>
      </c>
      <c r="B4" s="15" t="s">
        <v>212</v>
      </c>
      <c r="C4" s="3" t="s">
        <v>211</v>
      </c>
    </row>
    <row r="5" spans="1:3" ht="108" x14ac:dyDescent="0.3">
      <c r="A5" s="3" t="s">
        <v>39</v>
      </c>
      <c r="B5" s="15" t="s">
        <v>213</v>
      </c>
      <c r="C5" s="3" t="s">
        <v>211</v>
      </c>
    </row>
    <row r="6" spans="1:3" x14ac:dyDescent="0.3">
      <c r="A6" s="3" t="s">
        <v>40</v>
      </c>
      <c r="B6" s="3" t="s">
        <v>214</v>
      </c>
      <c r="C6" s="3" t="s">
        <v>211</v>
      </c>
    </row>
    <row r="7" spans="1:3" x14ac:dyDescent="0.3">
      <c r="A7" s="3" t="s">
        <v>41</v>
      </c>
      <c r="B7" s="3" t="s">
        <v>215</v>
      </c>
      <c r="C7" s="3" t="s">
        <v>211</v>
      </c>
    </row>
    <row r="8" spans="1:3" x14ac:dyDescent="0.3">
      <c r="A8" s="3" t="s">
        <v>42</v>
      </c>
      <c r="B8" s="3" t="s">
        <v>216</v>
      </c>
      <c r="C8" s="3" t="s">
        <v>211</v>
      </c>
    </row>
    <row r="9" spans="1:3" x14ac:dyDescent="0.3">
      <c r="C9" s="1"/>
    </row>
    <row r="10" spans="1:3" x14ac:dyDescent="0.3">
      <c r="C10" s="1"/>
    </row>
    <row r="11" spans="1:3" x14ac:dyDescent="0.3">
      <c r="C11" s="1"/>
    </row>
    <row r="12" spans="1:3" x14ac:dyDescent="0.3">
      <c r="C12" s="1"/>
    </row>
    <row r="13" spans="1:3" x14ac:dyDescent="0.3">
      <c r="C13" s="1"/>
    </row>
    <row r="14" spans="1:3" x14ac:dyDescent="0.3">
      <c r="C14" s="1"/>
    </row>
    <row r="15" spans="1:3" x14ac:dyDescent="0.3">
      <c r="C15" s="1"/>
    </row>
    <row r="16" spans="1:3" x14ac:dyDescent="0.3">
      <c r="C16" s="1"/>
    </row>
    <row r="17" spans="3:3" x14ac:dyDescent="0.3">
      <c r="C17" s="1"/>
    </row>
    <row r="18" spans="3:3" x14ac:dyDescent="0.3">
      <c r="C18" s="1"/>
    </row>
    <row r="19" spans="3:3" x14ac:dyDescent="0.3">
      <c r="C19" s="1"/>
    </row>
    <row r="20" spans="3:3" x14ac:dyDescent="0.3">
      <c r="C20" s="1"/>
    </row>
    <row r="21" spans="3:3" x14ac:dyDescent="0.3">
      <c r="C21" s="1"/>
    </row>
    <row r="22" spans="3:3" x14ac:dyDescent="0.3">
      <c r="C22" s="1"/>
    </row>
    <row r="23" spans="3:3" x14ac:dyDescent="0.3">
      <c r="C23" s="1"/>
    </row>
  </sheetData>
  <mergeCells count="1">
    <mergeCell ref="A1:B1"/>
  </mergeCells>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zoomScale="130" zoomScaleNormal="130" workbookViewId="0">
      <selection activeCell="C13" sqref="C13"/>
    </sheetView>
  </sheetViews>
  <sheetFormatPr defaultRowHeight="16.5" x14ac:dyDescent="0.3"/>
  <cols>
    <col min="1" max="1" width="22" bestFit="1" customWidth="1"/>
    <col min="2" max="2" width="56.5" bestFit="1" customWidth="1"/>
    <col min="3" max="3" width="67.875" customWidth="1"/>
  </cols>
  <sheetData>
    <row r="1" spans="1:3" ht="36" customHeight="1" x14ac:dyDescent="0.3">
      <c r="A1" s="37" t="s">
        <v>51</v>
      </c>
      <c r="B1" s="37"/>
      <c r="C1" s="25" t="s">
        <v>2</v>
      </c>
    </row>
    <row r="2" spans="1:3" x14ac:dyDescent="0.3">
      <c r="A2" s="3" t="s">
        <v>0</v>
      </c>
      <c r="B2" s="10" t="s">
        <v>227</v>
      </c>
      <c r="C2" s="3" t="s">
        <v>228</v>
      </c>
    </row>
    <row r="3" spans="1:3" ht="27" x14ac:dyDescent="0.3">
      <c r="A3" s="3" t="s">
        <v>36</v>
      </c>
      <c r="B3" s="15" t="s">
        <v>222</v>
      </c>
      <c r="C3" s="3" t="s">
        <v>228</v>
      </c>
    </row>
    <row r="4" spans="1:3" x14ac:dyDescent="0.3">
      <c r="A4" s="3" t="s">
        <v>50</v>
      </c>
      <c r="B4" s="15" t="s">
        <v>49</v>
      </c>
      <c r="C4" s="3" t="s">
        <v>228</v>
      </c>
    </row>
    <row r="5" spans="1:3" ht="27" x14ac:dyDescent="0.3">
      <c r="A5" s="3" t="s">
        <v>224</v>
      </c>
      <c r="B5" s="15" t="s">
        <v>225</v>
      </c>
      <c r="C5" s="3" t="s">
        <v>228</v>
      </c>
    </row>
    <row r="6" spans="1:3" x14ac:dyDescent="0.3">
      <c r="A6" s="3" t="s">
        <v>223</v>
      </c>
      <c r="B6" s="3" t="s">
        <v>226</v>
      </c>
      <c r="C6" s="3" t="s">
        <v>228</v>
      </c>
    </row>
    <row r="7" spans="1:3" x14ac:dyDescent="0.3">
      <c r="A7" s="9"/>
      <c r="B7" s="9"/>
      <c r="C7" s="24"/>
    </row>
    <row r="8" spans="1:3" x14ac:dyDescent="0.3">
      <c r="A8" s="9"/>
      <c r="B8" s="9"/>
      <c r="C8" s="24"/>
    </row>
    <row r="9" spans="1:3" ht="38.25" customHeight="1" x14ac:dyDescent="0.3">
      <c r="A9" s="37" t="s">
        <v>192</v>
      </c>
      <c r="B9" s="37"/>
      <c r="C9" s="25" t="s">
        <v>2</v>
      </c>
    </row>
    <row r="10" spans="1:3" x14ac:dyDescent="0.3">
      <c r="A10" s="3" t="s">
        <v>0</v>
      </c>
      <c r="B10" s="10" t="s">
        <v>190</v>
      </c>
      <c r="C10" s="3" t="s">
        <v>8</v>
      </c>
    </row>
    <row r="11" spans="1:3" x14ac:dyDescent="0.3">
      <c r="A11" s="3" t="s">
        <v>186</v>
      </c>
      <c r="B11" s="15" t="s">
        <v>187</v>
      </c>
      <c r="C11" s="3" t="s">
        <v>8</v>
      </c>
    </row>
    <row r="12" spans="1:3" x14ac:dyDescent="0.3">
      <c r="A12" s="14" t="s">
        <v>199</v>
      </c>
      <c r="B12" s="14" t="s">
        <v>64</v>
      </c>
      <c r="C12" s="3" t="s">
        <v>8</v>
      </c>
    </row>
    <row r="13" spans="1:3" x14ac:dyDescent="0.3">
      <c r="A13" s="3" t="s">
        <v>5</v>
      </c>
      <c r="B13" s="3" t="s">
        <v>6</v>
      </c>
      <c r="C13" s="3" t="s">
        <v>8</v>
      </c>
    </row>
    <row r="14" spans="1:3" x14ac:dyDescent="0.3">
      <c r="A14" s="3"/>
      <c r="B14" s="3"/>
      <c r="C14" s="3"/>
    </row>
    <row r="15" spans="1:3" x14ac:dyDescent="0.3">
      <c r="A15" s="3"/>
      <c r="B15" s="3"/>
      <c r="C15" s="20"/>
    </row>
    <row r="16" spans="1:3" x14ac:dyDescent="0.3">
      <c r="A16" s="3"/>
      <c r="B16" s="3"/>
      <c r="C16" s="20"/>
    </row>
    <row r="17" spans="1:3" x14ac:dyDescent="0.3">
      <c r="A17" s="3"/>
      <c r="B17" s="3"/>
      <c r="C17" s="20"/>
    </row>
    <row r="18" spans="1:3" x14ac:dyDescent="0.3">
      <c r="C18" s="1"/>
    </row>
    <row r="19" spans="1:3" x14ac:dyDescent="0.3">
      <c r="A19" t="s">
        <v>188</v>
      </c>
      <c r="C19" s="1"/>
    </row>
    <row r="20" spans="1:3" x14ac:dyDescent="0.3">
      <c r="A20" s="29" t="s">
        <v>189</v>
      </c>
      <c r="C20" s="1"/>
    </row>
    <row r="21" spans="1:3" x14ac:dyDescent="0.3">
      <c r="A21" s="23" t="s">
        <v>173</v>
      </c>
      <c r="C21" s="1"/>
    </row>
    <row r="22" spans="1:3" x14ac:dyDescent="0.3">
      <c r="A22" s="30" t="s">
        <v>175</v>
      </c>
    </row>
  </sheetData>
  <mergeCells count="2">
    <mergeCell ref="A1:B1"/>
    <mergeCell ref="A9:B9"/>
  </mergeCells>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130" zoomScaleNormal="130" workbookViewId="0">
      <selection activeCell="B30" sqref="B30"/>
    </sheetView>
  </sheetViews>
  <sheetFormatPr defaultRowHeight="16.5" x14ac:dyDescent="0.3"/>
  <cols>
    <col min="1" max="1" width="22" bestFit="1" customWidth="1"/>
    <col min="2" max="2" width="56.5" bestFit="1" customWidth="1"/>
    <col min="3" max="3" width="67.875" customWidth="1"/>
  </cols>
  <sheetData>
    <row r="1" spans="1:3" ht="17.25" x14ac:dyDescent="0.3">
      <c r="A1" s="37" t="s">
        <v>52</v>
      </c>
      <c r="B1" s="37"/>
      <c r="C1" s="3" t="s">
        <v>2</v>
      </c>
    </row>
    <row r="2" spans="1:3" x14ac:dyDescent="0.3">
      <c r="A2" s="3" t="s">
        <v>0</v>
      </c>
      <c r="B2" s="10" t="s">
        <v>201</v>
      </c>
      <c r="C2" s="3" t="s">
        <v>176</v>
      </c>
    </row>
    <row r="3" spans="1:3" x14ac:dyDescent="0.3">
      <c r="A3" s="3" t="s">
        <v>54</v>
      </c>
      <c r="B3" s="15" t="s">
        <v>58</v>
      </c>
      <c r="C3" s="3" t="s">
        <v>176</v>
      </c>
    </row>
    <row r="4" spans="1:3" ht="27" x14ac:dyDescent="0.3">
      <c r="A4" s="3" t="s">
        <v>55</v>
      </c>
      <c r="B4" s="15" t="s">
        <v>57</v>
      </c>
      <c r="C4" s="3" t="s">
        <v>176</v>
      </c>
    </row>
    <row r="5" spans="1:3" x14ac:dyDescent="0.3">
      <c r="A5" s="3" t="s">
        <v>53</v>
      </c>
      <c r="B5" s="15" t="s">
        <v>56</v>
      </c>
      <c r="C5" s="3" t="s">
        <v>176</v>
      </c>
    </row>
    <row r="6" spans="1:3" x14ac:dyDescent="0.3">
      <c r="A6" s="3"/>
      <c r="B6" s="3"/>
      <c r="C6" s="15"/>
    </row>
    <row r="7" spans="1:3" x14ac:dyDescent="0.3">
      <c r="A7" s="3"/>
      <c r="B7" s="3"/>
      <c r="C7" s="15"/>
    </row>
    <row r="8" spans="1:3" x14ac:dyDescent="0.3">
      <c r="A8" s="3"/>
      <c r="B8" s="3"/>
      <c r="C8" s="15"/>
    </row>
    <row r="9" spans="1:3" x14ac:dyDescent="0.3">
      <c r="A9" s="3"/>
      <c r="B9" s="3"/>
      <c r="C9" s="15"/>
    </row>
    <row r="10" spans="1:3" x14ac:dyDescent="0.3">
      <c r="C10" s="1"/>
    </row>
    <row r="11" spans="1:3" x14ac:dyDescent="0.3">
      <c r="C11" s="1"/>
    </row>
    <row r="12" spans="1:3" x14ac:dyDescent="0.3">
      <c r="C12" s="1"/>
    </row>
    <row r="13" spans="1:3" x14ac:dyDescent="0.3">
      <c r="C13" s="1"/>
    </row>
    <row r="14" spans="1:3" x14ac:dyDescent="0.3">
      <c r="C14" s="1"/>
    </row>
    <row r="15" spans="1:3" x14ac:dyDescent="0.3">
      <c r="C15" s="1"/>
    </row>
  </sheetData>
  <mergeCells count="1">
    <mergeCell ref="A1:B1"/>
  </mergeCells>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zoomScale="70" zoomScaleNormal="70" workbookViewId="0">
      <selection activeCell="C23" sqref="C23"/>
    </sheetView>
  </sheetViews>
  <sheetFormatPr defaultRowHeight="16.5" x14ac:dyDescent="0.3"/>
  <cols>
    <col min="1" max="1" width="45.125" customWidth="1"/>
    <col min="2" max="2" width="53.875" customWidth="1"/>
    <col min="3" max="3" width="45.125" customWidth="1"/>
    <col min="6" max="6" width="8.125" bestFit="1" customWidth="1"/>
    <col min="7" max="7" width="34.125" customWidth="1"/>
    <col min="8" max="9" width="15.375" customWidth="1"/>
    <col min="10" max="10" width="30.625" bestFit="1" customWidth="1"/>
  </cols>
  <sheetData>
    <row r="1" spans="1:10" ht="36" customHeight="1" x14ac:dyDescent="0.3">
      <c r="A1" s="33" t="s">
        <v>165</v>
      </c>
      <c r="B1" s="34"/>
      <c r="C1" s="3" t="s">
        <v>2</v>
      </c>
      <c r="F1" s="8" t="s">
        <v>26</v>
      </c>
      <c r="G1" s="14" t="s">
        <v>27</v>
      </c>
      <c r="H1" s="38" t="s">
        <v>35</v>
      </c>
      <c r="I1" s="38"/>
      <c r="J1" s="3" t="s">
        <v>28</v>
      </c>
    </row>
    <row r="2" spans="1:10" x14ac:dyDescent="0.3">
      <c r="A2" s="3" t="s">
        <v>164</v>
      </c>
      <c r="B2" s="10" t="s">
        <v>166</v>
      </c>
      <c r="C2" s="31" t="s">
        <v>69</v>
      </c>
      <c r="F2" s="8" t="s">
        <v>149</v>
      </c>
      <c r="G2" s="14" t="s">
        <v>29</v>
      </c>
      <c r="H2" s="4" t="s">
        <v>30</v>
      </c>
      <c r="I2" s="4" t="s">
        <v>31</v>
      </c>
      <c r="J2" s="3" t="s">
        <v>163</v>
      </c>
    </row>
    <row r="3" spans="1:10" ht="85.5" customHeight="1" x14ac:dyDescent="0.3">
      <c r="A3" s="3" t="s">
        <v>19</v>
      </c>
      <c r="B3" s="15" t="s">
        <v>167</v>
      </c>
      <c r="C3" s="15" t="s">
        <v>24</v>
      </c>
      <c r="F3" s="8" t="s">
        <v>146</v>
      </c>
      <c r="G3" s="14" t="s">
        <v>147</v>
      </c>
      <c r="H3" s="2">
        <v>150</v>
      </c>
      <c r="I3" s="2">
        <v>179</v>
      </c>
      <c r="J3" s="3"/>
    </row>
    <row r="4" spans="1:10" x14ac:dyDescent="0.3">
      <c r="A4" s="3" t="s">
        <v>21</v>
      </c>
      <c r="B4" s="3" t="s">
        <v>20</v>
      </c>
      <c r="C4" s="15" t="s">
        <v>25</v>
      </c>
      <c r="F4" s="8" t="s">
        <v>148</v>
      </c>
      <c r="G4" s="14" t="s">
        <v>32</v>
      </c>
      <c r="H4" s="2">
        <v>180</v>
      </c>
      <c r="I4" s="2">
        <v>199</v>
      </c>
      <c r="J4" s="3"/>
    </row>
    <row r="5" spans="1:10" ht="156.75" customHeight="1" x14ac:dyDescent="0.3">
      <c r="A5" s="3" t="s">
        <v>22</v>
      </c>
      <c r="B5" s="3" t="s">
        <v>23</v>
      </c>
      <c r="C5" s="15" t="s">
        <v>177</v>
      </c>
      <c r="F5" s="8" t="s">
        <v>150</v>
      </c>
      <c r="G5" s="14" t="s">
        <v>151</v>
      </c>
      <c r="H5" s="2">
        <f>I4+1</f>
        <v>200</v>
      </c>
      <c r="I5" s="2">
        <f>H5+9</f>
        <v>209</v>
      </c>
      <c r="J5" s="3"/>
    </row>
    <row r="6" spans="1:10" ht="27" x14ac:dyDescent="0.3">
      <c r="A6" s="22"/>
      <c r="B6" s="22"/>
      <c r="C6" s="15"/>
      <c r="F6" s="8" t="s">
        <v>152</v>
      </c>
      <c r="G6" s="16" t="s">
        <v>153</v>
      </c>
      <c r="H6" s="2">
        <f t="shared" ref="H6:H40" si="0">I5+1</f>
        <v>210</v>
      </c>
      <c r="I6" s="2">
        <f t="shared" ref="I6:I40" si="1">H6+9</f>
        <v>219</v>
      </c>
      <c r="J6" s="3" t="s">
        <v>162</v>
      </c>
    </row>
    <row r="7" spans="1:10" x14ac:dyDescent="0.3">
      <c r="F7" s="8" t="s">
        <v>154</v>
      </c>
      <c r="G7" s="14" t="s">
        <v>155</v>
      </c>
      <c r="H7" s="2">
        <f t="shared" si="0"/>
        <v>220</v>
      </c>
      <c r="I7" s="2">
        <f t="shared" si="1"/>
        <v>229</v>
      </c>
      <c r="J7" s="3"/>
    </row>
    <row r="8" spans="1:10" x14ac:dyDescent="0.3">
      <c r="F8" s="8" t="s">
        <v>156</v>
      </c>
      <c r="G8" s="14" t="s">
        <v>157</v>
      </c>
      <c r="H8" s="2">
        <f t="shared" si="0"/>
        <v>230</v>
      </c>
      <c r="I8" s="2">
        <f t="shared" si="1"/>
        <v>239</v>
      </c>
      <c r="J8" s="3"/>
    </row>
    <row r="9" spans="1:10" x14ac:dyDescent="0.3">
      <c r="F9" s="8" t="s">
        <v>237</v>
      </c>
      <c r="G9" s="14" t="s">
        <v>236</v>
      </c>
      <c r="H9" s="2">
        <f t="shared" si="0"/>
        <v>240</v>
      </c>
      <c r="I9" s="2">
        <f t="shared" si="1"/>
        <v>249</v>
      </c>
      <c r="J9" s="3"/>
    </row>
    <row r="10" spans="1:10" x14ac:dyDescent="0.3">
      <c r="F10" s="8" t="s">
        <v>158</v>
      </c>
      <c r="G10" s="14" t="s">
        <v>33</v>
      </c>
      <c r="H10" s="8">
        <f>300</f>
        <v>300</v>
      </c>
      <c r="I10" s="8">
        <f>H10+29</f>
        <v>329</v>
      </c>
      <c r="J10" s="6" t="s">
        <v>241</v>
      </c>
    </row>
    <row r="11" spans="1:10" x14ac:dyDescent="0.3">
      <c r="F11" s="8" t="s">
        <v>158</v>
      </c>
      <c r="G11" s="14" t="s">
        <v>34</v>
      </c>
      <c r="H11" s="8">
        <f t="shared" si="0"/>
        <v>330</v>
      </c>
      <c r="I11" s="8">
        <f>H11+49</f>
        <v>379</v>
      </c>
      <c r="J11" s="6" t="s">
        <v>238</v>
      </c>
    </row>
    <row r="12" spans="1:10" x14ac:dyDescent="0.3">
      <c r="F12" s="8" t="s">
        <v>70</v>
      </c>
      <c r="G12" s="14" t="s">
        <v>71</v>
      </c>
      <c r="H12" s="2">
        <v>400</v>
      </c>
      <c r="I12" s="2">
        <f t="shared" si="1"/>
        <v>409</v>
      </c>
      <c r="J12" s="32" t="s">
        <v>239</v>
      </c>
    </row>
    <row r="13" spans="1:10" x14ac:dyDescent="0.3">
      <c r="F13" s="8" t="s">
        <v>72</v>
      </c>
      <c r="G13" s="14" t="s">
        <v>73</v>
      </c>
      <c r="H13" s="2">
        <f t="shared" si="0"/>
        <v>410</v>
      </c>
      <c r="I13" s="2">
        <f t="shared" si="1"/>
        <v>419</v>
      </c>
      <c r="J13" s="32" t="s">
        <v>239</v>
      </c>
    </row>
    <row r="14" spans="1:10" x14ac:dyDescent="0.3">
      <c r="F14" s="8" t="s">
        <v>74</v>
      </c>
      <c r="G14" s="14" t="s">
        <v>75</v>
      </c>
      <c r="H14" s="2">
        <f t="shared" si="0"/>
        <v>420</v>
      </c>
      <c r="I14" s="2">
        <f t="shared" si="1"/>
        <v>429</v>
      </c>
      <c r="J14" s="32" t="s">
        <v>239</v>
      </c>
    </row>
    <row r="15" spans="1:10" x14ac:dyDescent="0.3">
      <c r="F15" s="8" t="s">
        <v>76</v>
      </c>
      <c r="G15" s="14" t="s">
        <v>77</v>
      </c>
      <c r="H15" s="2">
        <f t="shared" si="0"/>
        <v>430</v>
      </c>
      <c r="I15" s="2">
        <f t="shared" si="1"/>
        <v>439</v>
      </c>
      <c r="J15" s="32" t="s">
        <v>239</v>
      </c>
    </row>
    <row r="16" spans="1:10" x14ac:dyDescent="0.3">
      <c r="F16" s="8" t="s">
        <v>80</v>
      </c>
      <c r="G16" s="14" t="s">
        <v>81</v>
      </c>
      <c r="H16" s="2">
        <f t="shared" si="0"/>
        <v>440</v>
      </c>
      <c r="I16" s="2">
        <f t="shared" si="1"/>
        <v>449</v>
      </c>
      <c r="J16" s="32" t="s">
        <v>239</v>
      </c>
    </row>
    <row r="17" spans="6:10" x14ac:dyDescent="0.3">
      <c r="F17" s="8" t="s">
        <v>82</v>
      </c>
      <c r="G17" s="14" t="s">
        <v>83</v>
      </c>
      <c r="H17" s="2">
        <f t="shared" si="0"/>
        <v>450</v>
      </c>
      <c r="I17" s="2">
        <f t="shared" si="1"/>
        <v>459</v>
      </c>
      <c r="J17" s="32" t="s">
        <v>239</v>
      </c>
    </row>
    <row r="18" spans="6:10" x14ac:dyDescent="0.3">
      <c r="F18" s="8" t="s">
        <v>84</v>
      </c>
      <c r="G18" s="14" t="s">
        <v>85</v>
      </c>
      <c r="H18" s="2">
        <f t="shared" si="0"/>
        <v>460</v>
      </c>
      <c r="I18" s="2">
        <f t="shared" si="1"/>
        <v>469</v>
      </c>
      <c r="J18" s="32" t="s">
        <v>239</v>
      </c>
    </row>
    <row r="19" spans="6:10" x14ac:dyDescent="0.3">
      <c r="F19" s="8" t="s">
        <v>86</v>
      </c>
      <c r="G19" s="14" t="s">
        <v>87</v>
      </c>
      <c r="H19" s="2">
        <f t="shared" si="0"/>
        <v>470</v>
      </c>
      <c r="I19" s="2">
        <f t="shared" si="1"/>
        <v>479</v>
      </c>
      <c r="J19" s="32" t="s">
        <v>239</v>
      </c>
    </row>
    <row r="20" spans="6:10" x14ac:dyDescent="0.3">
      <c r="F20" s="8" t="s">
        <v>88</v>
      </c>
      <c r="G20" s="14" t="s">
        <v>89</v>
      </c>
      <c r="H20" s="2">
        <f t="shared" si="0"/>
        <v>480</v>
      </c>
      <c r="I20" s="2">
        <f t="shared" si="1"/>
        <v>489</v>
      </c>
      <c r="J20" s="32" t="s">
        <v>239</v>
      </c>
    </row>
    <row r="21" spans="6:10" x14ac:dyDescent="0.3">
      <c r="F21" s="17" t="s">
        <v>90</v>
      </c>
      <c r="G21" s="21" t="s">
        <v>91</v>
      </c>
      <c r="H21" s="19">
        <f t="shared" si="0"/>
        <v>490</v>
      </c>
      <c r="I21" s="19">
        <f>H21+29</f>
        <v>519</v>
      </c>
      <c r="J21" s="32" t="s">
        <v>239</v>
      </c>
    </row>
    <row r="22" spans="6:10" x14ac:dyDescent="0.3">
      <c r="F22" s="8" t="s">
        <v>92</v>
      </c>
      <c r="G22" s="14" t="s">
        <v>93</v>
      </c>
      <c r="H22" s="2">
        <f t="shared" si="0"/>
        <v>520</v>
      </c>
      <c r="I22" s="2">
        <f t="shared" si="1"/>
        <v>529</v>
      </c>
      <c r="J22" s="32" t="s">
        <v>239</v>
      </c>
    </row>
    <row r="23" spans="6:10" x14ac:dyDescent="0.3">
      <c r="F23" s="8" t="s">
        <v>94</v>
      </c>
      <c r="G23" s="14" t="s">
        <v>95</v>
      </c>
      <c r="H23" s="2">
        <f t="shared" si="0"/>
        <v>530</v>
      </c>
      <c r="I23" s="2">
        <f t="shared" si="1"/>
        <v>539</v>
      </c>
      <c r="J23" s="32" t="s">
        <v>239</v>
      </c>
    </row>
    <row r="24" spans="6:10" x14ac:dyDescent="0.3">
      <c r="F24" s="8" t="s">
        <v>96</v>
      </c>
      <c r="G24" s="7" t="s">
        <v>97</v>
      </c>
      <c r="H24" s="2">
        <f t="shared" si="0"/>
        <v>540</v>
      </c>
      <c r="I24" s="2">
        <f t="shared" si="1"/>
        <v>549</v>
      </c>
      <c r="J24" s="32" t="s">
        <v>239</v>
      </c>
    </row>
    <row r="25" spans="6:10" x14ac:dyDescent="0.3">
      <c r="F25" s="8" t="s">
        <v>98</v>
      </c>
      <c r="G25" s="7" t="s">
        <v>99</v>
      </c>
      <c r="H25" s="2">
        <f t="shared" si="0"/>
        <v>550</v>
      </c>
      <c r="I25" s="2">
        <f t="shared" si="1"/>
        <v>559</v>
      </c>
      <c r="J25" s="32" t="s">
        <v>239</v>
      </c>
    </row>
    <row r="26" spans="6:10" x14ac:dyDescent="0.3">
      <c r="F26" s="8" t="s">
        <v>102</v>
      </c>
      <c r="G26" s="7" t="s">
        <v>103</v>
      </c>
      <c r="H26" s="2">
        <f t="shared" si="0"/>
        <v>560</v>
      </c>
      <c r="I26" s="2">
        <f t="shared" si="1"/>
        <v>569</v>
      </c>
      <c r="J26" s="32" t="s">
        <v>239</v>
      </c>
    </row>
    <row r="27" spans="6:10" x14ac:dyDescent="0.3">
      <c r="F27" s="8" t="s">
        <v>104</v>
      </c>
      <c r="G27" s="7" t="s">
        <v>105</v>
      </c>
      <c r="H27" s="2">
        <f t="shared" si="0"/>
        <v>570</v>
      </c>
      <c r="I27" s="2">
        <f t="shared" si="1"/>
        <v>579</v>
      </c>
      <c r="J27" s="32" t="s">
        <v>239</v>
      </c>
    </row>
    <row r="28" spans="6:10" x14ac:dyDescent="0.3">
      <c r="F28" s="8" t="s">
        <v>106</v>
      </c>
      <c r="G28" s="7" t="s">
        <v>107</v>
      </c>
      <c r="H28" s="2">
        <f t="shared" si="0"/>
        <v>580</v>
      </c>
      <c r="I28" s="2">
        <f t="shared" si="1"/>
        <v>589</v>
      </c>
      <c r="J28" s="32" t="s">
        <v>239</v>
      </c>
    </row>
    <row r="29" spans="6:10" x14ac:dyDescent="0.3">
      <c r="F29" s="8" t="s">
        <v>108</v>
      </c>
      <c r="G29" s="7" t="s">
        <v>109</v>
      </c>
      <c r="H29" s="2">
        <f t="shared" si="0"/>
        <v>590</v>
      </c>
      <c r="I29" s="2">
        <f t="shared" si="1"/>
        <v>599</v>
      </c>
      <c r="J29" s="32" t="s">
        <v>239</v>
      </c>
    </row>
    <row r="30" spans="6:10" x14ac:dyDescent="0.3">
      <c r="F30" s="8" t="s">
        <v>110</v>
      </c>
      <c r="G30" s="7" t="s">
        <v>111</v>
      </c>
      <c r="H30" s="2">
        <f t="shared" si="0"/>
        <v>600</v>
      </c>
      <c r="I30" s="2">
        <f t="shared" si="1"/>
        <v>609</v>
      </c>
      <c r="J30" s="32" t="s">
        <v>239</v>
      </c>
    </row>
    <row r="31" spans="6:10" x14ac:dyDescent="0.3">
      <c r="F31" s="8" t="s">
        <v>112</v>
      </c>
      <c r="G31" s="7" t="s">
        <v>113</v>
      </c>
      <c r="H31" s="2">
        <f t="shared" si="0"/>
        <v>610</v>
      </c>
      <c r="I31" s="2">
        <f t="shared" si="1"/>
        <v>619</v>
      </c>
      <c r="J31" s="32" t="s">
        <v>239</v>
      </c>
    </row>
    <row r="32" spans="6:10" x14ac:dyDescent="0.3">
      <c r="F32" s="17" t="s">
        <v>118</v>
      </c>
      <c r="G32" s="18" t="s">
        <v>119</v>
      </c>
      <c r="H32" s="19">
        <f t="shared" si="0"/>
        <v>620</v>
      </c>
      <c r="I32" s="19">
        <f>H32+19</f>
        <v>639</v>
      </c>
      <c r="J32" s="32" t="s">
        <v>239</v>
      </c>
    </row>
    <row r="33" spans="6:10" x14ac:dyDescent="0.3">
      <c r="F33" s="8" t="s">
        <v>120</v>
      </c>
      <c r="G33" s="7" t="s">
        <v>121</v>
      </c>
      <c r="H33" s="2">
        <f t="shared" si="0"/>
        <v>640</v>
      </c>
      <c r="I33" s="2">
        <f t="shared" si="1"/>
        <v>649</v>
      </c>
      <c r="J33" s="32" t="s">
        <v>239</v>
      </c>
    </row>
    <row r="34" spans="6:10" x14ac:dyDescent="0.3">
      <c r="F34" s="8" t="s">
        <v>122</v>
      </c>
      <c r="G34" s="7" t="s">
        <v>123</v>
      </c>
      <c r="H34" s="2">
        <f t="shared" si="0"/>
        <v>650</v>
      </c>
      <c r="I34" s="2">
        <f t="shared" si="1"/>
        <v>659</v>
      </c>
      <c r="J34" s="32" t="s">
        <v>239</v>
      </c>
    </row>
    <row r="35" spans="6:10" x14ac:dyDescent="0.3">
      <c r="F35" s="8" t="s">
        <v>124</v>
      </c>
      <c r="G35" s="7" t="s">
        <v>125</v>
      </c>
      <c r="H35" s="2">
        <f t="shared" si="0"/>
        <v>660</v>
      </c>
      <c r="I35" s="2">
        <f t="shared" si="1"/>
        <v>669</v>
      </c>
      <c r="J35" s="32" t="s">
        <v>239</v>
      </c>
    </row>
    <row r="36" spans="6:10" x14ac:dyDescent="0.3">
      <c r="F36" s="8" t="s">
        <v>126</v>
      </c>
      <c r="G36" s="7" t="s">
        <v>127</v>
      </c>
      <c r="H36" s="2">
        <f t="shared" si="0"/>
        <v>670</v>
      </c>
      <c r="I36" s="2">
        <f t="shared" si="1"/>
        <v>679</v>
      </c>
      <c r="J36" s="32" t="s">
        <v>239</v>
      </c>
    </row>
    <row r="37" spans="6:10" x14ac:dyDescent="0.3">
      <c r="F37" s="8" t="s">
        <v>128</v>
      </c>
      <c r="G37" s="7" t="s">
        <v>129</v>
      </c>
      <c r="H37" s="2">
        <f t="shared" si="0"/>
        <v>680</v>
      </c>
      <c r="I37" s="2">
        <f t="shared" si="1"/>
        <v>689</v>
      </c>
      <c r="J37" s="32" t="s">
        <v>239</v>
      </c>
    </row>
    <row r="38" spans="6:10" x14ac:dyDescent="0.3">
      <c r="F38" s="8" t="s">
        <v>140</v>
      </c>
      <c r="G38" s="7" t="s">
        <v>141</v>
      </c>
      <c r="H38" s="2">
        <f t="shared" si="0"/>
        <v>690</v>
      </c>
      <c r="I38" s="2">
        <f t="shared" si="1"/>
        <v>699</v>
      </c>
      <c r="J38" s="32" t="s">
        <v>239</v>
      </c>
    </row>
    <row r="39" spans="6:10" x14ac:dyDescent="0.3">
      <c r="F39" s="8" t="s">
        <v>142</v>
      </c>
      <c r="G39" s="7" t="s">
        <v>143</v>
      </c>
      <c r="H39" s="2">
        <f t="shared" si="0"/>
        <v>700</v>
      </c>
      <c r="I39" s="2">
        <f t="shared" si="1"/>
        <v>709</v>
      </c>
      <c r="J39" s="32" t="s">
        <v>239</v>
      </c>
    </row>
    <row r="40" spans="6:10" x14ac:dyDescent="0.3">
      <c r="F40" s="8" t="s">
        <v>144</v>
      </c>
      <c r="G40" s="7" t="s">
        <v>145</v>
      </c>
      <c r="H40" s="2">
        <f t="shared" si="0"/>
        <v>710</v>
      </c>
      <c r="I40" s="2">
        <f t="shared" si="1"/>
        <v>719</v>
      </c>
      <c r="J40" s="32" t="s">
        <v>239</v>
      </c>
    </row>
    <row r="41" spans="6:10" x14ac:dyDescent="0.3">
      <c r="F41" s="5" t="s">
        <v>158</v>
      </c>
      <c r="G41" s="6" t="s">
        <v>68</v>
      </c>
      <c r="H41" s="5">
        <v>801</v>
      </c>
      <c r="I41" s="5">
        <v>850</v>
      </c>
      <c r="J41" s="6" t="s">
        <v>161</v>
      </c>
    </row>
    <row r="42" spans="6:10" x14ac:dyDescent="0.3">
      <c r="F42" s="5" t="s">
        <v>158</v>
      </c>
      <c r="G42" s="6" t="s">
        <v>159</v>
      </c>
      <c r="H42" s="5">
        <v>851</v>
      </c>
      <c r="I42" s="5">
        <v>870</v>
      </c>
      <c r="J42" s="6" t="s">
        <v>161</v>
      </c>
    </row>
    <row r="43" spans="6:10" x14ac:dyDescent="0.3">
      <c r="F43" s="11" t="s">
        <v>78</v>
      </c>
      <c r="G43" s="13" t="s">
        <v>79</v>
      </c>
      <c r="H43" s="11" t="s">
        <v>160</v>
      </c>
      <c r="I43" s="11" t="s">
        <v>160</v>
      </c>
      <c r="J43" s="13"/>
    </row>
    <row r="44" spans="6:10" x14ac:dyDescent="0.3">
      <c r="F44" s="11" t="s">
        <v>100</v>
      </c>
      <c r="G44" s="12" t="s">
        <v>101</v>
      </c>
      <c r="H44" s="11" t="s">
        <v>160</v>
      </c>
      <c r="I44" s="11" t="s">
        <v>160</v>
      </c>
      <c r="J44" s="13"/>
    </row>
    <row r="45" spans="6:10" x14ac:dyDescent="0.3">
      <c r="F45" s="11" t="s">
        <v>114</v>
      </c>
      <c r="G45" s="12" t="s">
        <v>115</v>
      </c>
      <c r="H45" s="11" t="s">
        <v>160</v>
      </c>
      <c r="I45" s="11" t="s">
        <v>160</v>
      </c>
      <c r="J45" s="13"/>
    </row>
    <row r="46" spans="6:10" x14ac:dyDescent="0.3">
      <c r="F46" s="11" t="s">
        <v>116</v>
      </c>
      <c r="G46" s="12" t="s">
        <v>117</v>
      </c>
      <c r="H46" s="11" t="s">
        <v>160</v>
      </c>
      <c r="I46" s="11" t="s">
        <v>160</v>
      </c>
      <c r="J46" s="13"/>
    </row>
    <row r="47" spans="6:10" x14ac:dyDescent="0.3">
      <c r="F47" s="11" t="s">
        <v>136</v>
      </c>
      <c r="G47" s="12" t="s">
        <v>137</v>
      </c>
      <c r="H47" s="11" t="s">
        <v>160</v>
      </c>
      <c r="I47" s="11" t="s">
        <v>160</v>
      </c>
      <c r="J47" s="13"/>
    </row>
    <row r="48" spans="6:10" x14ac:dyDescent="0.3">
      <c r="F48" s="11" t="s">
        <v>130</v>
      </c>
      <c r="G48" s="12" t="s">
        <v>131</v>
      </c>
      <c r="H48" s="11" t="s">
        <v>160</v>
      </c>
      <c r="I48" s="11" t="s">
        <v>160</v>
      </c>
      <c r="J48" s="13"/>
    </row>
    <row r="49" spans="6:10" x14ac:dyDescent="0.3">
      <c r="F49" s="11" t="s">
        <v>132</v>
      </c>
      <c r="G49" s="12" t="s">
        <v>133</v>
      </c>
      <c r="H49" s="11" t="s">
        <v>160</v>
      </c>
      <c r="I49" s="11" t="s">
        <v>160</v>
      </c>
      <c r="J49" s="13"/>
    </row>
    <row r="50" spans="6:10" x14ac:dyDescent="0.3">
      <c r="F50" s="11" t="s">
        <v>134</v>
      </c>
      <c r="G50" s="12" t="s">
        <v>135</v>
      </c>
      <c r="H50" s="11" t="s">
        <v>160</v>
      </c>
      <c r="I50" s="11" t="s">
        <v>160</v>
      </c>
      <c r="J50" s="13"/>
    </row>
    <row r="51" spans="6:10" x14ac:dyDescent="0.3">
      <c r="F51" s="11" t="s">
        <v>138</v>
      </c>
      <c r="G51" s="12" t="s">
        <v>139</v>
      </c>
      <c r="H51" s="11" t="s">
        <v>160</v>
      </c>
      <c r="I51" s="11" t="s">
        <v>160</v>
      </c>
      <c r="J51" s="13"/>
    </row>
  </sheetData>
  <mergeCells count="2">
    <mergeCell ref="H1:I1"/>
    <mergeCell ref="A1:B1"/>
  </mergeCells>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opLeftCell="B4" zoomScale="115" zoomScaleNormal="115" workbookViewId="0">
      <selection activeCell="C25" sqref="C25"/>
    </sheetView>
  </sheetViews>
  <sheetFormatPr defaultRowHeight="16.5" x14ac:dyDescent="0.3"/>
  <cols>
    <col min="1" max="1" width="29.5" customWidth="1"/>
    <col min="2" max="2" width="88.75" customWidth="1"/>
    <col min="3" max="3" width="67.875" customWidth="1"/>
  </cols>
  <sheetData>
    <row r="1" spans="1:3" ht="76.5" customHeight="1" x14ac:dyDescent="0.3">
      <c r="A1" s="39" t="s">
        <v>9</v>
      </c>
      <c r="B1" s="34"/>
      <c r="C1" s="3" t="s">
        <v>2</v>
      </c>
    </row>
    <row r="2" spans="1:3" x14ac:dyDescent="0.3">
      <c r="A2" s="3" t="s">
        <v>202</v>
      </c>
      <c r="B2" s="10" t="s">
        <v>205</v>
      </c>
      <c r="C2" s="3" t="s">
        <v>14</v>
      </c>
    </row>
    <row r="3" spans="1:3" x14ac:dyDescent="0.3">
      <c r="A3" s="3" t="s">
        <v>67</v>
      </c>
      <c r="B3" s="14" t="s">
        <v>13</v>
      </c>
      <c r="C3" s="20"/>
    </row>
    <row r="4" spans="1:3" x14ac:dyDescent="0.3">
      <c r="A4" s="3" t="s">
        <v>66</v>
      </c>
      <c r="B4" s="3" t="s">
        <v>10</v>
      </c>
      <c r="C4" s="15" t="s">
        <v>15</v>
      </c>
    </row>
    <row r="5" spans="1:3" ht="27" x14ac:dyDescent="0.3">
      <c r="A5" s="3" t="s">
        <v>11</v>
      </c>
      <c r="B5" s="15" t="s">
        <v>12</v>
      </c>
      <c r="C5" s="15"/>
    </row>
    <row r="6" spans="1:3" x14ac:dyDescent="0.3">
      <c r="A6" s="3"/>
      <c r="B6" s="3"/>
      <c r="C6" s="15"/>
    </row>
    <row r="7" spans="1:3" x14ac:dyDescent="0.3">
      <c r="A7" s="3"/>
      <c r="B7" s="3"/>
      <c r="C7" s="15"/>
    </row>
    <row r="8" spans="1:3" x14ac:dyDescent="0.3">
      <c r="A8" s="9"/>
      <c r="B8" s="9"/>
      <c r="C8" s="24"/>
    </row>
    <row r="9" spans="1:3" x14ac:dyDescent="0.3">
      <c r="A9" s="9"/>
      <c r="B9" s="9"/>
      <c r="C9" s="24"/>
    </row>
    <row r="10" spans="1:3" ht="51" customHeight="1" x14ac:dyDescent="0.3">
      <c r="A10" s="39" t="s">
        <v>16</v>
      </c>
      <c r="B10" s="34"/>
      <c r="C10" s="3" t="s">
        <v>2</v>
      </c>
    </row>
    <row r="11" spans="1:3" x14ac:dyDescent="0.3">
      <c r="A11" s="3" t="s">
        <v>203</v>
      </c>
      <c r="B11" s="10" t="s">
        <v>232</v>
      </c>
      <c r="C11" s="3" t="s">
        <v>240</v>
      </c>
    </row>
    <row r="12" spans="1:3" x14ac:dyDescent="0.3">
      <c r="A12" s="3" t="s">
        <v>17</v>
      </c>
      <c r="B12" s="14" t="s">
        <v>18</v>
      </c>
      <c r="C12" s="20"/>
    </row>
    <row r="13" spans="1:3" x14ac:dyDescent="0.3">
      <c r="A13" s="3" t="s">
        <v>235</v>
      </c>
      <c r="B13" s="3" t="s">
        <v>229</v>
      </c>
      <c r="C13" s="15" t="s">
        <v>15</v>
      </c>
    </row>
    <row r="14" spans="1:3" x14ac:dyDescent="0.3">
      <c r="A14" s="3" t="s">
        <v>230</v>
      </c>
      <c r="B14" s="15" t="s">
        <v>231</v>
      </c>
      <c r="C14" s="15"/>
    </row>
    <row r="15" spans="1:3" x14ac:dyDescent="0.3">
      <c r="A15" s="3"/>
      <c r="B15" s="3"/>
      <c r="C15" s="15"/>
    </row>
    <row r="16" spans="1:3" x14ac:dyDescent="0.3">
      <c r="A16" s="3"/>
      <c r="B16" s="3"/>
      <c r="C16" s="15"/>
    </row>
    <row r="17" spans="1:3" x14ac:dyDescent="0.3">
      <c r="A17" s="9"/>
      <c r="B17" s="28"/>
      <c r="C17" s="24"/>
    </row>
    <row r="18" spans="1:3" x14ac:dyDescent="0.3">
      <c r="A18" s="9"/>
      <c r="B18" s="9"/>
      <c r="C18" s="24"/>
    </row>
    <row r="19" spans="1:3" ht="52.5" customHeight="1" x14ac:dyDescent="0.3">
      <c r="A19" s="39" t="s">
        <v>174</v>
      </c>
      <c r="B19" s="34"/>
      <c r="C19" s="3" t="s">
        <v>2</v>
      </c>
    </row>
    <row r="20" spans="1:3" x14ac:dyDescent="0.3">
      <c r="A20" s="3" t="s">
        <v>204</v>
      </c>
      <c r="B20" s="10" t="s">
        <v>233</v>
      </c>
      <c r="C20" s="3"/>
    </row>
    <row r="21" spans="1:3" x14ac:dyDescent="0.3">
      <c r="A21" s="3" t="s">
        <v>17</v>
      </c>
      <c r="B21" s="14" t="s">
        <v>193</v>
      </c>
      <c r="C21" s="20"/>
    </row>
    <row r="22" spans="1:3" x14ac:dyDescent="0.3">
      <c r="A22" s="3" t="s">
        <v>191</v>
      </c>
      <c r="B22" s="3" t="s">
        <v>194</v>
      </c>
      <c r="C22" s="15"/>
    </row>
    <row r="23" spans="1:3" x14ac:dyDescent="0.3">
      <c r="A23" s="3" t="s">
        <v>234</v>
      </c>
      <c r="B23" s="15" t="s">
        <v>231</v>
      </c>
      <c r="C23" s="15"/>
    </row>
    <row r="24" spans="1:3" x14ac:dyDescent="0.3">
      <c r="A24" s="3"/>
      <c r="B24" s="3"/>
      <c r="C24" s="15"/>
    </row>
    <row r="25" spans="1:3" x14ac:dyDescent="0.3">
      <c r="A25" s="3"/>
      <c r="B25" s="3"/>
      <c r="C25" s="15"/>
    </row>
    <row r="27" spans="1:3" x14ac:dyDescent="0.3">
      <c r="A27" s="29" t="s">
        <v>173</v>
      </c>
    </row>
    <row r="28" spans="1:3" x14ac:dyDescent="0.3">
      <c r="A28" s="30" t="s">
        <v>175</v>
      </c>
    </row>
  </sheetData>
  <mergeCells count="3">
    <mergeCell ref="A1:B1"/>
    <mergeCell ref="A10:B10"/>
    <mergeCell ref="A19:B19"/>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Instrument Tagging</vt:lpstr>
      <vt:lpstr>Instrument Loop Tagging</vt:lpstr>
      <vt:lpstr>Detector Tagging </vt:lpstr>
      <vt:lpstr>FGS loop Tagging</vt:lpstr>
      <vt:lpstr>Inst EQ Tagging</vt:lpstr>
      <vt:lpstr>Inst Tubing Tagging</vt:lpstr>
      <vt:lpstr>Inst Junction box Tagging</vt:lpstr>
      <vt:lpstr>Cable Tagging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HHI</dc:creator>
  <cp:lastModifiedBy>HHI</cp:lastModifiedBy>
  <dcterms:created xsi:type="dcterms:W3CDTF">2021-03-24T04:07:38Z</dcterms:created>
  <dcterms:modified xsi:type="dcterms:W3CDTF">2021-04-09T08:25:18Z</dcterms:modified>
</cp:coreProperties>
</file>